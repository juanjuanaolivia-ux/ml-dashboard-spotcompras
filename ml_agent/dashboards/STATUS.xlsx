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slicers/slicer1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an\Desktop\Dashboard\agente\ml_agent\dashboards\"/>
    </mc:Choice>
  </mc:AlternateContent>
  <xr:revisionPtr revIDLastSave="0" documentId="13_ncr:1_{A2D48B86-11E3-42FE-BCD9-BBF1AC30D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US" sheetId="3" r:id="rId1"/>
    <sheet name="PERIODOS" sheetId="6" state="hidden" r:id="rId2"/>
    <sheet name="F_ACTUALIZACION" sheetId="4" state="hidden" r:id="rId3"/>
  </sheets>
  <externalReferences>
    <externalReference r:id="rId4"/>
  </externalReferences>
  <definedNames>
    <definedName name="DatosExternos_1" localSheetId="2" hidden="1">F_ACTUALIZACION!$A$1:$A$2</definedName>
    <definedName name="DatosExternos_1" localSheetId="0" hidden="1">STATUS!$A$7:$S$177</definedName>
    <definedName name="SegmentaciónDeDatos_ACTIVADO">#N/A</definedName>
    <definedName name="SegmentaciónDeDatos_CATEGORIA">#N/A</definedName>
    <definedName name="SegmentaciónDeDatos_CON_PI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7" i="3" l="1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7" i="3"/>
  <c r="F96" i="3"/>
  <c r="F95" i="3"/>
  <c r="F94" i="3"/>
  <c r="F93" i="3"/>
  <c r="F91" i="3"/>
  <c r="F90" i="3"/>
  <c r="F89" i="3"/>
  <c r="F88" i="3"/>
  <c r="F87" i="3"/>
  <c r="F86" i="3"/>
  <c r="F85" i="3"/>
  <c r="F84" i="3"/>
  <c r="F83" i="3"/>
  <c r="F82" i="3"/>
  <c r="F81" i="3"/>
  <c r="F80" i="3"/>
  <c r="F44" i="3"/>
  <c r="F42" i="3"/>
  <c r="F35" i="3"/>
  <c r="F34" i="3"/>
  <c r="F24" i="3"/>
  <c r="F15" i="3"/>
  <c r="F13" i="3"/>
  <c r="F12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3" i="3"/>
  <c r="I162" i="3"/>
  <c r="I161" i="3"/>
  <c r="I160" i="3"/>
  <c r="I159" i="3"/>
  <c r="I158" i="3"/>
  <c r="I157" i="3"/>
  <c r="I156" i="3"/>
  <c r="I155" i="3"/>
  <c r="I154" i="3"/>
  <c r="I153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7" i="3"/>
  <c r="I96" i="3"/>
  <c r="I95" i="3"/>
  <c r="I94" i="3"/>
  <c r="I93" i="3"/>
  <c r="I91" i="3"/>
  <c r="I90" i="3"/>
  <c r="I89" i="3"/>
  <c r="I88" i="3"/>
  <c r="I87" i="3"/>
  <c r="I86" i="3"/>
  <c r="I85" i="3"/>
  <c r="I83" i="3"/>
  <c r="I82" i="3"/>
  <c r="I81" i="3"/>
  <c r="I80" i="3"/>
  <c r="I44" i="3"/>
  <c r="I42" i="3"/>
  <c r="I35" i="3"/>
  <c r="I34" i="3"/>
  <c r="I24" i="3"/>
  <c r="I15" i="3"/>
  <c r="I13" i="3"/>
  <c r="I12" i="3"/>
  <c r="I8" i="3"/>
  <c r="F8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D4" i="3" l="1" a="1"/>
  <c r="D4" i="3" s="1"/>
  <c r="S5" i="3"/>
  <c r="S4" i="3"/>
  <c r="Q5" i="3"/>
  <c r="P5" i="3"/>
  <c r="O5" i="3"/>
  <c r="N5" i="3"/>
  <c r="M5" i="3"/>
  <c r="L5" i="3"/>
  <c r="K5" i="3"/>
  <c r="Q4" i="3"/>
  <c r="P4" i="3"/>
  <c r="O4" i="3"/>
  <c r="N4" i="3"/>
  <c r="M4" i="3"/>
  <c r="L4" i="3"/>
  <c r="K4" i="3"/>
  <c r="M6" i="3" l="1"/>
  <c r="L6" i="3"/>
  <c r="N6" i="3"/>
  <c r="O6" i="3"/>
  <c r="S6" i="3"/>
  <c r="P6" i="3"/>
  <c r="Q6" i="3"/>
  <c r="K6" i="3"/>
  <c r="D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0E50CC-C1F8-4A44-BF64-A7B985381DDF}" keepAlive="1" name="Consulta - EMPRESA" description="Conexión a la consulta 'EMPRESA' en el libro." type="5" refreshedVersion="0" background="1">
    <dbPr connection="Provider=Microsoft.Mashup.OleDb.1;Data Source=$Workbook$;Location=EMPRESA;Extended Properties=&quot;&quot;" command="SELECT * FROM [EMPRESA]"/>
  </connection>
  <connection id="2" xr16:uid="{0FFA071F-933C-4488-92BE-80799118CA1A}" keepAlive="1" name="Consulta - F_ACTUALIZACION" description="Conexión a la consulta 'F_ACTUALIZACION' en el libro." type="5" refreshedVersion="8" background="1" saveData="1">
    <dbPr connection="Provider=Microsoft.Mashup.OleDb.1;Data Source=$Workbook$;Location=F_ACTUALIZACION;Extended Properties=&quot;&quot;" command="SELECT * FROM [F_ACTUALIZACION]"/>
  </connection>
  <connection id="3" xr16:uid="{7F6A6296-3F5B-4EF2-8BD1-00D28BF6A485}" keepAlive="1" name="Consulta - M" description="Conexión a la consulta 'M' en el libro." type="5" refreshedVersion="0" background="1" saveData="1">
    <dbPr connection="Provider=Microsoft.Mashup.OleDb.1;Data Source=$Workbook$;Location=M;Extended Properties=&quot;&quot;" command="SELECT * FROM [M]"/>
  </connection>
  <connection id="4" xr16:uid="{64830708-CD72-40B4-A854-8296C7586B9F}" keepAlive="1" name="Consulta - PROY" description="Conexión a la consulta 'PROY' en el libro." type="5" refreshedVersion="0" background="1">
    <dbPr connection="Provider=Microsoft.Mashup.OleDb.1;Data Source=$Workbook$;Location=PROY;Extended Properties=&quot;&quot;" command="SELECT * FROM [PROY]"/>
  </connection>
  <connection id="5" xr16:uid="{D8179E2D-D819-4975-A592-E2B6AB30DE1B}" keepAlive="1" name="Consulta - SITUACION COMPLETO" description="Conexión a la consulta 'SITUACION COMPLETO' en el libro." type="5" refreshedVersion="8" background="1" saveData="1">
    <dbPr connection="Provider=Microsoft.Mashup.OleDb.1;Data Source=$Workbook$;Location=&quot;SITUACION COMPLETO&quot;;Extended Properties=&quot;&quot;" command="SELECT * FROM [SITUACION COMPLET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<sst xmlns="http://schemas.openxmlformats.org/spreadsheetml/2006/main" count="992" uniqueCount="539">
  <si>
    <t>CODIGO</t>
  </si>
  <si>
    <t>CATEGORIA</t>
  </si>
  <si>
    <t>MARCA</t>
  </si>
  <si>
    <t>ADUANA</t>
  </si>
  <si>
    <t>PROXIMO INGRESO ESTIMADO</t>
  </si>
  <si>
    <t>HERRAMIENTAS</t>
  </si>
  <si>
    <t>TIVOLI</t>
  </si>
  <si>
    <t>SUZUKI TIME</t>
  </si>
  <si>
    <t>AUDIO</t>
  </si>
  <si>
    <t>AW-CAM100IN</t>
  </si>
  <si>
    <t>AIWA</t>
  </si>
  <si>
    <t>AW-CAM200IN</t>
  </si>
  <si>
    <t>AW-CAM400EX</t>
  </si>
  <si>
    <t>GENERICO / TERCEROS</t>
  </si>
  <si>
    <t>ETY0040P</t>
  </si>
  <si>
    <t>ETY0041V</t>
  </si>
  <si>
    <t>ETY0042B</t>
  </si>
  <si>
    <t>SIC-101A</t>
  </si>
  <si>
    <t>CONSTRICTOR</t>
  </si>
  <si>
    <t>SIC-101R</t>
  </si>
  <si>
    <t>SIC-101V</t>
  </si>
  <si>
    <t>TYPA500A</t>
  </si>
  <si>
    <t>TYPA500G</t>
  </si>
  <si>
    <t>FECHA INGRESO ESTIMADA</t>
  </si>
  <si>
    <t>INDICE DIGITAL</t>
  </si>
  <si>
    <t>SUB_CATEGORIA</t>
  </si>
  <si>
    <t>DISPONIBLE FULLFILL</t>
  </si>
  <si>
    <t>DIAS STOCK</t>
  </si>
  <si>
    <t>A12</t>
  </si>
  <si>
    <t>CYCPLUS</t>
  </si>
  <si>
    <t>A2</t>
  </si>
  <si>
    <t>AAT-050</t>
  </si>
  <si>
    <t>A8</t>
  </si>
  <si>
    <t>ABS-250</t>
  </si>
  <si>
    <t>APT-012</t>
  </si>
  <si>
    <t>APT-020</t>
  </si>
  <si>
    <t>BG-330-SM</t>
  </si>
  <si>
    <t>BM-T518F-ES</t>
  </si>
  <si>
    <t>ILUMINACION</t>
  </si>
  <si>
    <t>ENERGY SAFE</t>
  </si>
  <si>
    <t>AS2</t>
  </si>
  <si>
    <t>BM-T59F-ES</t>
  </si>
  <si>
    <t>AST-180</t>
  </si>
  <si>
    <t>AST-216</t>
  </si>
  <si>
    <t>CET-100</t>
  </si>
  <si>
    <t>AVT-010B</t>
  </si>
  <si>
    <t>AVT-010N</t>
  </si>
  <si>
    <t>DET-004</t>
  </si>
  <si>
    <t>DR-12W-ES</t>
  </si>
  <si>
    <t>BG-220-SM</t>
  </si>
  <si>
    <t>EET-040B</t>
  </si>
  <si>
    <t>EMT-101I</t>
  </si>
  <si>
    <t>FDT-007N</t>
  </si>
  <si>
    <t>FDT-062I</t>
  </si>
  <si>
    <t>BZT-180N</t>
  </si>
  <si>
    <t>GS1B</t>
  </si>
  <si>
    <t>GS1G</t>
  </si>
  <si>
    <t>GS3</t>
  </si>
  <si>
    <t>CFT-125N</t>
  </si>
  <si>
    <t>CFT-180N</t>
  </si>
  <si>
    <t>LRT-035</t>
  </si>
  <si>
    <t>LTT-080G</t>
  </si>
  <si>
    <t>M2</t>
  </si>
  <si>
    <t>DR-18W-ES</t>
  </si>
  <si>
    <t>MCT-100</t>
  </si>
  <si>
    <t>DR-24W-ES</t>
  </si>
  <si>
    <t>MCT-200</t>
  </si>
  <si>
    <t>MJT-204N</t>
  </si>
  <si>
    <t>MJT-205P</t>
  </si>
  <si>
    <t>MJT-206M</t>
  </si>
  <si>
    <t>MJT-207L</t>
  </si>
  <si>
    <t>PC-A12C-ES</t>
  </si>
  <si>
    <t>FDT-090I</t>
  </si>
  <si>
    <t>PC-A12F-ES</t>
  </si>
  <si>
    <t>FHT-150N</t>
  </si>
  <si>
    <t>PC-A18C-ES</t>
  </si>
  <si>
    <t>G1</t>
  </si>
  <si>
    <t>PC-A24C-ES</t>
  </si>
  <si>
    <t>PC-A6C-ES</t>
  </si>
  <si>
    <t>PC-A6F-ES</t>
  </si>
  <si>
    <t>PC-E12C-ES</t>
  </si>
  <si>
    <t>HAL-31</t>
  </si>
  <si>
    <t>PC-E12F-ES</t>
  </si>
  <si>
    <t>PC-E18C-ES</t>
  </si>
  <si>
    <t>HLT-100</t>
  </si>
  <si>
    <t>PC-E24C-ES</t>
  </si>
  <si>
    <t>PC-E6C-ES</t>
  </si>
  <si>
    <t>PC-E6F-ES</t>
  </si>
  <si>
    <t>PR-A12C-ES</t>
  </si>
  <si>
    <t>PR-A12F-ES</t>
  </si>
  <si>
    <t>JET-201I</t>
  </si>
  <si>
    <t>PR-A18C-ES</t>
  </si>
  <si>
    <t>LE-30F-ES</t>
  </si>
  <si>
    <t>PR-A24C-ES</t>
  </si>
  <si>
    <t>PR-A6C-ES</t>
  </si>
  <si>
    <t>LPT-006D</t>
  </si>
  <si>
    <t>PR-A6F-ES</t>
  </si>
  <si>
    <t>LPT-006V</t>
  </si>
  <si>
    <t>PR-E12C-ES</t>
  </si>
  <si>
    <t>PR-E12F-ES</t>
  </si>
  <si>
    <t>PR-E18C-ES</t>
  </si>
  <si>
    <t>M1</t>
  </si>
  <si>
    <t>PR-E24C-ES</t>
  </si>
  <si>
    <t>PR-E6C-ES</t>
  </si>
  <si>
    <t>MCBT-103</t>
  </si>
  <si>
    <t>PR-E6F-ES</t>
  </si>
  <si>
    <t>RPT-100</t>
  </si>
  <si>
    <t>MJT-003N</t>
  </si>
  <si>
    <t>SMT-201</t>
  </si>
  <si>
    <t>MMT-020B</t>
  </si>
  <si>
    <t>SP-100-SM</t>
  </si>
  <si>
    <t>PBT-112</t>
  </si>
  <si>
    <t>PBT-115</t>
  </si>
  <si>
    <t>TPT-050</t>
  </si>
  <si>
    <t>PL-606040F-ES</t>
  </si>
  <si>
    <t>TYPA700A</t>
  </si>
  <si>
    <t>U1</t>
  </si>
  <si>
    <t>PC-E18F-ES</t>
  </si>
  <si>
    <t>TAC-22PCS</t>
  </si>
  <si>
    <t>PC-E24F-ES</t>
  </si>
  <si>
    <t>PGT-200N</t>
  </si>
  <si>
    <t>RE-100F-ES</t>
  </si>
  <si>
    <t>PR-A18F-ES</t>
  </si>
  <si>
    <t>TRT-86N</t>
  </si>
  <si>
    <t>SET-010N</t>
  </si>
  <si>
    <t>TYPA700G</t>
  </si>
  <si>
    <t>PR-E18F-ES</t>
  </si>
  <si>
    <t>PR-E24F-ES</t>
  </si>
  <si>
    <t>RE-50F-ES</t>
  </si>
  <si>
    <t>RET-150B</t>
  </si>
  <si>
    <t>TST-207N</t>
  </si>
  <si>
    <t>TST-207B</t>
  </si>
  <si>
    <t>WFT-010N</t>
  </si>
  <si>
    <t>SET-010B</t>
  </si>
  <si>
    <t>PR-A24F-ES</t>
  </si>
  <si>
    <t>PC-A18F-ES</t>
  </si>
  <si>
    <t>PBT-108</t>
  </si>
  <si>
    <t>PC-A24F-ES</t>
  </si>
  <si>
    <t>YOGURTERA MECANICA</t>
  </si>
  <si>
    <t>YOGURTERA DIGITAL</t>
  </si>
  <si>
    <t>DESCRIPCION</t>
  </si>
  <si>
    <t>COMPRESOR PORTATIL NEGRO / 150 PSI / 5 MODOS A12 CYCPLUS</t>
  </si>
  <si>
    <t>COMPRESOR PORTATIL BICICLETA NEGRO 150 PSI MULTIAPLICACIÓN A2 CYCPLUS</t>
  </si>
  <si>
    <t>AMOLADORA ANGULAR 115 MM 500W TIVOLI AAT-050</t>
  </si>
  <si>
    <t>COMPRESOR PORTATIL BICICLETA GRIS 150 PSI A8 CYCPLUS</t>
  </si>
  <si>
    <t>CORTAPELO ASPIRADORA  COLOR BLANCA TIVOLI AMT-101 1 UNIDADES</t>
  </si>
  <si>
    <t>EJERCITADOR ABDOMINALES SUZUKITIME  ABS-250</t>
  </si>
  <si>
    <t>TALADRO INALAMBRICO ATORNILLADOR PERCUTOR 12V TIVOLI APT-012</t>
  </si>
  <si>
    <t>TALADRO INALAMBRICO ATORNILLADOR PERCUTOR 20V TIVOLI APT-020</t>
  </si>
  <si>
    <t>BASE PARA NOTEBOOK ALUMINIO BG-330-SM</t>
  </si>
  <si>
    <t>LISTON BAJO MESADA 1,2M 18W LUZ FRIA</t>
  </si>
  <si>
    <t>COMPRESOR PORTATIL CUBO CICLISMO AS2 CYCPLUS</t>
  </si>
  <si>
    <t>LISTON BAJO MESADA 0,6M 9W LUZ FRIA</t>
  </si>
  <si>
    <t>ASPIRADORA VERTICAL</t>
  </si>
  <si>
    <t>ASPIRADORA TRINEO</t>
  </si>
  <si>
    <t>CAFETERA EXPRESSO TIVOLI DIGITAL</t>
  </si>
  <si>
    <t>AURICULARES VINCHA BLANCO</t>
  </si>
  <si>
    <t>AURICULARES VINCHA NEGRO</t>
  </si>
  <si>
    <t>DESTORNILLADOR ELECTRICO 4V CON KIT DE ACCESORIOS TIVOLI DET-004</t>
  </si>
  <si>
    <t>DOBLE CAMARA INDOOR 2MP - ICSEE</t>
  </si>
  <si>
    <t>CAMARA OUTDOOR 2MP - ICSEE</t>
  </si>
  <si>
    <t>FUENTE 12W</t>
  </si>
  <si>
    <t>BASE PARA NOTEBOOK ALUMINIO BG-220-SM</t>
  </si>
  <si>
    <t>EXPRIMIDOR DE JUGO ELECTRICO BLANCO</t>
  </si>
  <si>
    <t>EXPRIMIDOR DE JUGO MANUAL</t>
  </si>
  <si>
    <t>PISTOLA BURBUJAS VIOLETA ROCKET BUBBLE GUM ETY0041V</t>
  </si>
  <si>
    <t>PISTOLA BURBUJAS AZUL ROCKET BUBBLE GUM ETY0042B</t>
  </si>
  <si>
    <t>FABRICA DE DONAS</t>
  </si>
  <si>
    <t>FREIDORA DE AIRE 6,2 LITROS</t>
  </si>
  <si>
    <t>BALANZA DIGITAL PERSONAL</t>
  </si>
  <si>
    <t>VENTILADOR PORTATIL 42MM</t>
  </si>
  <si>
    <t>CAFETERA DE FILTRO 1,25 L</t>
  </si>
  <si>
    <t>CAFETERA DE FILTRO 1,8 L</t>
  </si>
  <si>
    <t>LIJADORA ROTO ORBITAL TIVOLI LRT-035</t>
  </si>
  <si>
    <t>LAVATAPIZADOS AUTO</t>
  </si>
  <si>
    <t>CICLOCOMPUTADORA GPS CICLISMO / BLUETOOTH / ANT+ / 2.5 INCH / IPX6 M2 CYCPLUS</t>
  </si>
  <si>
    <t>DRIVER 18W</t>
  </si>
  <si>
    <t>DRIVER 24W</t>
  </si>
  <si>
    <t>EXPRIMIDOR DE JUGO ELECTRICO INOX</t>
  </si>
  <si>
    <t>MASAJEADOR DE CUELLO Y HOMBROS 30W</t>
  </si>
  <si>
    <t>PISTOLA MASAJEADORA  8W</t>
  </si>
  <si>
    <t>MASAJEADOR MANUAL MULTIUSO 25W</t>
  </si>
  <si>
    <t>MASAJEADOR LUMBAR 24W</t>
  </si>
  <si>
    <t>PLAFON CUADRADO DE APLICAR 12W - LUZ CALIDA</t>
  </si>
  <si>
    <t>FREIDORA DE AIRE 9 L</t>
  </si>
  <si>
    <t>PLAFON CUADRADO DE APLICAR 12W - LUZ FRIA</t>
  </si>
  <si>
    <t>HORNO FREIDOR 11,6 L</t>
  </si>
  <si>
    <t>PLAFON CUADRADO DE APLICAR 18W - LUZ CALIDA</t>
  </si>
  <si>
    <t>CICLOCOMPUTADORA GPS CICLISMO / BLUETOOTH / ANT+ / 2.0 INCH / IPX6 G1 CYCPLUS</t>
  </si>
  <si>
    <t>PLAFON CUADRADO DE APLICAR 24W - LUZ CALIDA</t>
  </si>
  <si>
    <t>PLAFON CUADRADO DE APLICAR 6W - LUZ CALIDA</t>
  </si>
  <si>
    <t>PLAFON CUADRADO DE APLICAR 6W - LUZ FRIA</t>
  </si>
  <si>
    <t>PLAFON CUADRADO DE EMBUTIR 12W - LUZ CALIDA</t>
  </si>
  <si>
    <t>ARO LUZ SZK 3 EN 1 ART. C/BASE HAL-31</t>
  </si>
  <si>
    <t>PLAFON CUADRADO DE EMBUTIR 12W - LUZ FRIA</t>
  </si>
  <si>
    <t>PLAFON CUADRADO DE EMBUTIR 18W - LUZ CALIDA</t>
  </si>
  <si>
    <t>PLAFON CUADRADO DE EMBUTIR 24W - LUZ CALIDA</t>
  </si>
  <si>
    <t>PLAFON CUADRADO DE EMBUTIR 6W - LUZ CALIDA</t>
  </si>
  <si>
    <t>PLAFON CUADRADO DE EMBUTIR 6W - LUZ FRIA</t>
  </si>
  <si>
    <t>PLAFON REDONDO DE APLICAR 12W - LUZ CALIDA</t>
  </si>
  <si>
    <t>PLAFON REDONDO DE APLICAR 12W - LUZ FRIA</t>
  </si>
  <si>
    <t>JUGUERA ELECTRICA</t>
  </si>
  <si>
    <t>PLAFON REDONDO DE APLICAR 18W - LUZ CALIDA</t>
  </si>
  <si>
    <t>LUZ DE EMERGENCIA 30 LEDS</t>
  </si>
  <si>
    <t>PLAFON REDONDO DE APLICAR 24W - LUZ CALIDA</t>
  </si>
  <si>
    <t>PLAFON REDONDO DE APLICAR 6W - LUZ CALIDA</t>
  </si>
  <si>
    <t>LICUADORA PERSONAL 0,6 L DORADO</t>
  </si>
  <si>
    <t>PLAFON REDONDO DE APLICAR 6W - LUZ FRIA</t>
  </si>
  <si>
    <t>LICUADORA PERSONAL 0,6 L VERDE</t>
  </si>
  <si>
    <t>PLAFON REDONDO DE EMBUTIR 12W - LUZ CALIDA</t>
  </si>
  <si>
    <t>PLAFON REDONDO DE EMBUTIR 12W - LUZ FRIA</t>
  </si>
  <si>
    <t>PLAFON REDONDO DE EMBUTIR 18W - LUZ CALIDA</t>
  </si>
  <si>
    <t>CICLOCOMPUTADORA GPS CICLISMO / BLUETOOTH / ANT+ / 2.9 INCH / IPX6 M1 CYCPLUS</t>
  </si>
  <si>
    <t>PLAFON REDONDO DE EMBUTIR 24W - LUZ CALIDA</t>
  </si>
  <si>
    <t>PLAFON REDONDO DE EMBUTIR 6W - LUZ CALIDA</t>
  </si>
  <si>
    <t>CONTADOR DE BILLETES</t>
  </si>
  <si>
    <t>PLAFON REDONDO DE EMBUTIR 6W - LUZ FRIA</t>
  </si>
  <si>
    <t>SILLA GAMER CONSTRICTOR LAMPALAGUA AMARILLA</t>
  </si>
  <si>
    <t>MASAJEADOR CERVICAL</t>
  </si>
  <si>
    <t>SILLA GAMER CONSTRICTOR LAMPALAGUA ROJO</t>
  </si>
  <si>
    <t>SILLA GAMER CONSTRICTOR LAMPALAGUA VERDE</t>
  </si>
  <si>
    <t>SECADORA PARA MASCOTAS DE AIRE CALIENTE TIVOLI SMT-201 1 UNIDADES</t>
  </si>
  <si>
    <t>MICROONDAS MECANICO 20L</t>
  </si>
  <si>
    <t>SOPORTE PARA MONITOR</t>
  </si>
  <si>
    <t>PARTY BOX 12"</t>
  </si>
  <si>
    <t>PARTY BOX 15"</t>
  </si>
  <si>
    <t>TALADRO PERCUTOR 500 W TIVOLI TPT-050</t>
  </si>
  <si>
    <t>PANEL 595X595 EMBUTIR LUZ FRIA</t>
  </si>
  <si>
    <t>PISTOLA DE AGUA TIPO RIFLE AZUL</t>
  </si>
  <si>
    <t>RECEPTOR USB ANT+ CICLISMO U1 CYCPLUS</t>
  </si>
  <si>
    <t>PLAFON CUADRADO EMPOTRAR 18W LUZ FRÍA</t>
  </si>
  <si>
    <t>SET DE  SELLOS P7 CARNE  TIVOLI   TAC-22PCS</t>
  </si>
  <si>
    <t>PLAFON CUADRADO EMPOTRAR 24W LUZ FRÍA</t>
  </si>
  <si>
    <t>PARRILLA ELECTRICA</t>
  </si>
  <si>
    <t>REFLECTOR 100W - LUZ FRÍA</t>
  </si>
  <si>
    <t>PISTOLA DE AGUA CON SILENCIADOR AZUL</t>
  </si>
  <si>
    <t>PLAFON REDONDO APLICAR 18W LUZ FRÍA</t>
  </si>
  <si>
    <t>PISTOLA DE AGUA</t>
  </si>
  <si>
    <t>TRIPODE PARA PARLANTE</t>
  </si>
  <si>
    <t>SANWICHERA NEGRA</t>
  </si>
  <si>
    <t>PISTOLA DE AGUA TIPO RIFLE GRIS</t>
  </si>
  <si>
    <t>PLAFON REDONDO EMPOTRAR 18W LUZ FRÍA</t>
  </si>
  <si>
    <t>PLAFON REDONDO EMPOTRAR 24W LUZ FRÍA</t>
  </si>
  <si>
    <t>REFLECTOR LED 50W LUZ FRÍA</t>
  </si>
  <si>
    <t>RALLADOR DE ALIMENTOS ELECTRICO</t>
  </si>
  <si>
    <t>TOSTADORA DE PAN NEGRA</t>
  </si>
  <si>
    <t>TOSTADORA DE PAN BLANCA</t>
  </si>
  <si>
    <t>WAFLERA</t>
  </si>
  <si>
    <t>PISTOLA BURBUJAS ROSA ROCKET BUBBLE GUM ETY0040P</t>
  </si>
  <si>
    <t>SANWICHERA BLANCA</t>
  </si>
  <si>
    <t>PLAFON REDONDO APLICAR 24W LUZ FRÍA</t>
  </si>
  <si>
    <t>CAMARA INDOOR 2MP - TUYA</t>
  </si>
  <si>
    <t>PLAFON CUADRADO APLICAR 18W LUZ FRÍA</t>
  </si>
  <si>
    <t>PARTY BOX 8"</t>
  </si>
  <si>
    <t>PLAFON CUADRADO APLICAR 24W LUZ FRÍA</t>
  </si>
  <si>
    <t>AST-100</t>
  </si>
  <si>
    <t>STATUS SPOTCOMPRAS</t>
  </si>
  <si>
    <t>APIRADORA ROBOT ENTRY CON DEPOSITO DE AGUA</t>
  </si>
  <si>
    <t>VENTILADOR PORTATIL 59MM BLANCO</t>
  </si>
  <si>
    <t>VENTILADOR PORTATIL 59MM GRIS</t>
  </si>
  <si>
    <t>CON PI</t>
  </si>
  <si>
    <t>AOR88A</t>
  </si>
  <si>
    <t>AUTO A CONTROL REMOTO 88 AMARILLO</t>
  </si>
  <si>
    <t>JUGUETES</t>
  </si>
  <si>
    <t>AOR88V</t>
  </si>
  <si>
    <t>AUTO A CONTROL REMOTO 88 VERDE</t>
  </si>
  <si>
    <t>AOR90A</t>
  </si>
  <si>
    <t>CAMIONETA A CONTROL REMOTO 90 AMARILLA</t>
  </si>
  <si>
    <t>AOR90R</t>
  </si>
  <si>
    <t>CAMIONETA A CONTROL REMOTO 90 ROJA</t>
  </si>
  <si>
    <t>MAQUINA DE COSER PORTATIL TIVOLI</t>
  </si>
  <si>
    <t>MAQUINA DE COSER 16 PUNTADAS TIVOLI</t>
  </si>
  <si>
    <t>RADIO AM/FM</t>
  </si>
  <si>
    <t>RADIO</t>
  </si>
  <si>
    <t>TRANSITO</t>
  </si>
  <si>
    <t>BPT-500G</t>
  </si>
  <si>
    <t>BPT-500R</t>
  </si>
  <si>
    <t>SAR-145A</t>
  </si>
  <si>
    <t>SAR-145R</t>
  </si>
  <si>
    <t>ACTIVADO</t>
  </si>
  <si>
    <t>SI</t>
  </si>
  <si>
    <t>NO</t>
  </si>
  <si>
    <t>PET</t>
  </si>
  <si>
    <t>SET DE ARTE AZUL</t>
  </si>
  <si>
    <t>SET DE ARTE ROSA</t>
  </si>
  <si>
    <t>BPT-352G</t>
  </si>
  <si>
    <t>ELT-150N</t>
  </si>
  <si>
    <t>DISPONIBLE GRAL</t>
  </si>
  <si>
    <t>STOCK GRAL</t>
  </si>
  <si>
    <t>STOCK DIGITAL</t>
  </si>
  <si>
    <t>STOCK FULLFILL</t>
  </si>
  <si>
    <t>BURBUJERO AUTOMATICO AZUL</t>
  </si>
  <si>
    <t>BURBUJERO AUTOMATICO ROSA</t>
  </si>
  <si>
    <t>BURBUJERO AUTOMATICO VIOLETA</t>
  </si>
  <si>
    <t>PISTO_SC_AZUL</t>
  </si>
  <si>
    <t>PISTOLA AGUA ESPACIAL AZUL</t>
  </si>
  <si>
    <t>PISTO_SC_GRIS</t>
  </si>
  <si>
    <t>PISTOLA AGUA ESPACIAL GRIS</t>
  </si>
  <si>
    <t>AIT-10G</t>
  </si>
  <si>
    <t>AVT-500A</t>
  </si>
  <si>
    <t>EAN</t>
  </si>
  <si>
    <t>7798111355142</t>
  </si>
  <si>
    <t>7798111355050</t>
  </si>
  <si>
    <t>7798441180551</t>
  </si>
  <si>
    <t>7798111355067</t>
  </si>
  <si>
    <t>SIN_EAN</t>
  </si>
  <si>
    <t>7798441180636</t>
  </si>
  <si>
    <t>7798441180537</t>
  </si>
  <si>
    <t>7798441180605</t>
  </si>
  <si>
    <t>7798441180544</t>
  </si>
  <si>
    <t>7798441180612</t>
  </si>
  <si>
    <t>7798111356316</t>
  </si>
  <si>
    <t>7798111356309</t>
  </si>
  <si>
    <t>7798111355074</t>
  </si>
  <si>
    <t>7798441180704</t>
  </si>
  <si>
    <t>7798441180131</t>
  </si>
  <si>
    <t>7798111355869</t>
  </si>
  <si>
    <t>7798111355876</t>
  </si>
  <si>
    <t>7798111355890</t>
  </si>
  <si>
    <t>7798441180599</t>
  </si>
  <si>
    <t>7798441180247</t>
  </si>
  <si>
    <t>7798441180230</t>
  </si>
  <si>
    <t>7798441180575</t>
  </si>
  <si>
    <t>7798111356354</t>
  </si>
  <si>
    <t>7798111355227</t>
  </si>
  <si>
    <t>7798441180582</t>
  </si>
  <si>
    <t>7798441180674</t>
  </si>
  <si>
    <t>7798441180506</t>
  </si>
  <si>
    <t>7798441180513</t>
  </si>
  <si>
    <t>7798441180148</t>
  </si>
  <si>
    <t>7798441180445</t>
  </si>
  <si>
    <t>7798441180452</t>
  </si>
  <si>
    <t>7798441180469</t>
  </si>
  <si>
    <t>7798441180476</t>
  </si>
  <si>
    <t>7798111355333</t>
  </si>
  <si>
    <t>7798111356224</t>
  </si>
  <si>
    <t>7798111355340</t>
  </si>
  <si>
    <t>7798111356231</t>
  </si>
  <si>
    <t>7798441180346</t>
  </si>
  <si>
    <t>7798111356248</t>
  </si>
  <si>
    <t>7798111356279</t>
  </si>
  <si>
    <t>7798111356170</t>
  </si>
  <si>
    <t>7798441180278</t>
  </si>
  <si>
    <t>7798111356163</t>
  </si>
  <si>
    <t>7798111356101</t>
  </si>
  <si>
    <t>7798111356118</t>
  </si>
  <si>
    <t>7798111356125</t>
  </si>
  <si>
    <t>7798111356132</t>
  </si>
  <si>
    <t>7798441180414</t>
  </si>
  <si>
    <t>7798111356040</t>
  </si>
  <si>
    <t>7798441180049</t>
  </si>
  <si>
    <t>7798111356057</t>
  </si>
  <si>
    <t>7798441180162</t>
  </si>
  <si>
    <t>7798111355012</t>
  </si>
  <si>
    <t>7798441180681</t>
  </si>
  <si>
    <t>7798111356217</t>
  </si>
  <si>
    <t>7798441180698</t>
  </si>
  <si>
    <t>7798111356200</t>
  </si>
  <si>
    <t>7798441180438</t>
  </si>
  <si>
    <t>7798111356255</t>
  </si>
  <si>
    <t>7798111356262</t>
  </si>
  <si>
    <t>7798111356187</t>
  </si>
  <si>
    <t>7798441180285</t>
  </si>
  <si>
    <t>7798111356194</t>
  </si>
  <si>
    <t>7798111356095</t>
  </si>
  <si>
    <t>7798111356088</t>
  </si>
  <si>
    <t>7798111356156</t>
  </si>
  <si>
    <t>7798111356149</t>
  </si>
  <si>
    <t>7798111356064</t>
  </si>
  <si>
    <t>7798111354992</t>
  </si>
  <si>
    <t>7798111356071</t>
  </si>
  <si>
    <t>7798111355005</t>
  </si>
  <si>
    <t>7798441180490</t>
  </si>
  <si>
    <t>7798441180292</t>
  </si>
  <si>
    <t>7798111355128</t>
  </si>
  <si>
    <t>7798441180223</t>
  </si>
  <si>
    <t>7798111354985</t>
  </si>
  <si>
    <t>7798441180155</t>
  </si>
  <si>
    <t>7798441180315</t>
  </si>
  <si>
    <t>7798441180322</t>
  </si>
  <si>
    <t>7798441180339</t>
  </si>
  <si>
    <t>7798111353780</t>
  </si>
  <si>
    <t>7798441180568</t>
  </si>
  <si>
    <t>7798111355043</t>
  </si>
  <si>
    <t>7798111355319</t>
  </si>
  <si>
    <t>7798111355265</t>
  </si>
  <si>
    <t>7798111355272</t>
  </si>
  <si>
    <t>7798441180179</t>
  </si>
  <si>
    <t>7798111355111</t>
  </si>
  <si>
    <t>7798111355135</t>
  </si>
  <si>
    <t>7798441180254</t>
  </si>
  <si>
    <t>7798111356286</t>
  </si>
  <si>
    <t>7798111355289</t>
  </si>
  <si>
    <t>7798111355296</t>
  </si>
  <si>
    <t>7798111355258</t>
  </si>
  <si>
    <t>7798111355326</t>
  </si>
  <si>
    <t>7798441180360</t>
  </si>
  <si>
    <t>7798441180377</t>
  </si>
  <si>
    <t>7798441180186</t>
  </si>
  <si>
    <t>7798441180261</t>
  </si>
  <si>
    <t>7798441180407</t>
  </si>
  <si>
    <t>7798441180209</t>
  </si>
  <si>
    <t>7798441180124</t>
  </si>
  <si>
    <t>7798441180117</t>
  </si>
  <si>
    <t>7798441180629</t>
  </si>
  <si>
    <t>7798441180384</t>
  </si>
  <si>
    <t>7798441180056</t>
  </si>
  <si>
    <t>7798441180070</t>
  </si>
  <si>
    <t>7798441180193</t>
  </si>
  <si>
    <t>7798441180087</t>
  </si>
  <si>
    <t>7798111355241</t>
  </si>
  <si>
    <t>7798111356330</t>
  </si>
  <si>
    <t>7798111355302</t>
  </si>
  <si>
    <t>7798441180216</t>
  </si>
  <si>
    <t>7798441180520</t>
  </si>
  <si>
    <t>HIDROLAVADORA 1600W</t>
  </si>
  <si>
    <t>7798441180018</t>
  </si>
  <si>
    <t>7798111354657</t>
  </si>
  <si>
    <t>7798111354640</t>
  </si>
  <si>
    <t>7798111354633</t>
  </si>
  <si>
    <t>7798111356422</t>
  </si>
  <si>
    <t>PED-17N</t>
  </si>
  <si>
    <t>7798441180650</t>
  </si>
  <si>
    <t>7798441180766</t>
  </si>
  <si>
    <t>7798441180773</t>
  </si>
  <si>
    <t>CET-200N</t>
  </si>
  <si>
    <t>Cafetera Expresso Tivoli</t>
  </si>
  <si>
    <t>CET-300N</t>
  </si>
  <si>
    <t>Cafetera Expresso Tivoli con Espumador de Leche</t>
  </si>
  <si>
    <t>PED-17G</t>
  </si>
  <si>
    <t>AMT-121</t>
  </si>
  <si>
    <t>Aspiradora de Mano Vertical 400W Tivoli</t>
  </si>
  <si>
    <t>BPT-152N</t>
  </si>
  <si>
    <t>BPT-152R</t>
  </si>
  <si>
    <t>BATIDORA PLANETARIA 3 EN 1</t>
  </si>
  <si>
    <t>Buggy control remoto azul</t>
  </si>
  <si>
    <t>Buggy control remoto naranja</t>
  </si>
  <si>
    <t>Buggy control remoto negro</t>
  </si>
  <si>
    <t>7798111356347</t>
  </si>
  <si>
    <t>DR-6W-ES</t>
  </si>
  <si>
    <t>FUENTE 6W</t>
  </si>
  <si>
    <t>EET-352I</t>
  </si>
  <si>
    <t>Juego bloques magneticos</t>
  </si>
  <si>
    <t>PAVA TIVOLI COLOR GRIS</t>
  </si>
  <si>
    <t>PAVA TIVOLI COLOR NEGRO</t>
  </si>
  <si>
    <t>7798441180711</t>
  </si>
  <si>
    <t>YGT-026B</t>
  </si>
  <si>
    <t>7798441180728</t>
  </si>
  <si>
    <t>YGT-D21B</t>
  </si>
  <si>
    <t>AMT-101</t>
  </si>
  <si>
    <t>BPT-052N</t>
  </si>
  <si>
    <t>BPT-052R</t>
  </si>
  <si>
    <t>EET-350I</t>
  </si>
  <si>
    <t>YGT-015B</t>
  </si>
  <si>
    <t>YGT-D10B</t>
  </si>
  <si>
    <t>JUEGO MAGNETICO 64 PCS</t>
  </si>
  <si>
    <t>JUEGO MAGNETICO 84 PCS</t>
  </si>
  <si>
    <t>7798111354978</t>
  </si>
  <si>
    <t>7798441180353</t>
  </si>
  <si>
    <t>7798441180063</t>
  </si>
  <si>
    <t>7798441180094</t>
  </si>
  <si>
    <t>7798441180100</t>
  </si>
  <si>
    <t>7798441180667</t>
  </si>
  <si>
    <t>7798441180759</t>
  </si>
  <si>
    <t>7798441180780</t>
  </si>
  <si>
    <t>ESPUMADOR DE LECHE TIVOLI</t>
  </si>
  <si>
    <t>7798441180735</t>
  </si>
  <si>
    <t>7798441180742</t>
  </si>
  <si>
    <t>7798441180803</t>
  </si>
  <si>
    <t>ASPIRADORA INDUSTRIAL 15 LITROS</t>
  </si>
  <si>
    <t>BATIDORA 5,2L 1200W NEGRA</t>
  </si>
  <si>
    <t>BATIDORA 5,2L 1200W ROJA</t>
  </si>
  <si>
    <t>Fecha</t>
  </si>
  <si>
    <t>PERIODO</t>
  </si>
  <si>
    <t>Orden</t>
  </si>
  <si>
    <t>KEY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</si>
  <si>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</si>
  <si>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</si>
  <si>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</si>
  <si>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</si>
  <si>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</si>
  <si>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</si>
  <si>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</si>
  <si>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</si>
  <si>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</si>
  <si>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</si>
  <si>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</si>
  <si>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ABR-27</t>
  </si>
  <si>
    <t>Camioneta Gris 4x4</t>
  </si>
  <si>
    <t>AOCYB01G</t>
  </si>
  <si>
    <t>BCR201A</t>
  </si>
  <si>
    <t>BCR201N</t>
  </si>
  <si>
    <t>BCR201O</t>
  </si>
  <si>
    <t>ETY245A</t>
  </si>
  <si>
    <t>JM108</t>
  </si>
  <si>
    <t>JM64</t>
  </si>
  <si>
    <t>JM84</t>
  </si>
  <si>
    <t>ETY246R</t>
  </si>
  <si>
    <t>ETY248V</t>
  </si>
  <si>
    <t>SC_BORDEADORA</t>
  </si>
  <si>
    <t>SC_CALADORA</t>
  </si>
  <si>
    <t>TH_CALADORA</t>
  </si>
  <si>
    <t>SC_EXTENSOR</t>
  </si>
  <si>
    <t>TH_EXTENSOR</t>
  </si>
  <si>
    <t>SC_LIJADORA_INTERCAMBIABLE</t>
  </si>
  <si>
    <t>TH_LIJADORA_INTERCAMBIABLE</t>
  </si>
  <si>
    <t>SC_MOTOSIERRA</t>
  </si>
  <si>
    <t>TH_MOTOSIERRA</t>
  </si>
  <si>
    <t>SC_PODADORA</t>
  </si>
  <si>
    <t>TH_PODADORA</t>
  </si>
  <si>
    <t>SC_PULIDORA</t>
  </si>
  <si>
    <t>TH_PULIDORA</t>
  </si>
  <si>
    <t>SC_SOLDADORA</t>
  </si>
  <si>
    <t>TH_SOLDADORA</t>
  </si>
  <si>
    <t>SC_SOPLADOR</t>
  </si>
  <si>
    <t>TH_SOPLADOR</t>
  </si>
  <si>
    <t>SC_TALADRO_BRUSHLESS</t>
  </si>
  <si>
    <t>TH_TALADRO_BRUSHLESS</t>
  </si>
  <si>
    <t>STAND MIXER 4,8 ENTRY GRIS</t>
  </si>
  <si>
    <t>STAND MIXER 4,8 ENTRY ROJO</t>
  </si>
  <si>
    <t>HOGAR</t>
  </si>
  <si>
    <t>ASPIRADORAS</t>
  </si>
  <si>
    <t>AUTOS A CONTROL REMOTO</t>
  </si>
  <si>
    <t>PEQUEÑOS ELECTRO</t>
  </si>
  <si>
    <t>LISTON</t>
  </si>
  <si>
    <t>BATIDORAS</t>
  </si>
  <si>
    <t>CAFETERAS</t>
  </si>
  <si>
    <t>FUENTES</t>
  </si>
  <si>
    <t>EXPRIMIDORES</t>
  </si>
  <si>
    <t>ESPUMADORES</t>
  </si>
  <si>
    <t>BURBUJEROS</t>
  </si>
  <si>
    <t>MAGNETICS</t>
  </si>
  <si>
    <t>PLAFON</t>
  </si>
  <si>
    <t>JARRAS ELECTRICAS</t>
  </si>
  <si>
    <t>JARDIN</t>
  </si>
  <si>
    <t>PERFORACION</t>
  </si>
  <si>
    <t>SOLDADORAS</t>
  </si>
  <si>
    <t>LIJADORAS</t>
  </si>
  <si>
    <t>YOGURTERAS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</si>
</sst>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TODOS LOS VALORES ESTAN ACTUALIZADOS AL FIN DEL&quot;\ d/m/yyyy"/>
    <numFmt numFmtId="165" formatCode="&quot;ACTIVANDO HOY LLEGA RECIEN EL&quot;\ d/m/yyyy"/>
    <numFmt numFmtId="166" formatCode="dd/mm/yy;@"/>
    <numFmt numFmtId="167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2" xfId="0" applyNumberFormat="1" applyFont="1" applyFill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166" fontId="0" fillId="0" borderId="0" xfId="0" applyNumberFormat="1"/>
    <xf numFmtId="3" fontId="0" fillId="0" borderId="5" xfId="0" applyNumberFormat="1" applyBorder="1"/>
    <xf numFmtId="167" fontId="0" fillId="0" borderId="5" xfId="0" applyNumberFormat="1" applyBorder="1"/>
    <xf numFmtId="0" fontId="5" fillId="10" borderId="4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4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b/>
      </font>
      <numFmt numFmtId="164" formatCode="&quot;TODOS LOS VALORES ESTAN ACTUALIZADOS AL FIN DEL&quot;\ d/m/yyyy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numFmt numFmtId="164" formatCode="&quot;TODOS LOS VALORES ESTAN ACTUALIZADOS AL FIN DEL&quot;\ d/m/yyyy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/>
      </font>
      <numFmt numFmtId="164" formatCode="&quot;TODOS LOS VALORES ESTAN ACTUALIZADOS AL FIN DEL&quot;\ d/m/yyyy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166" formatCode="dd/mm/yy;@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medium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Relationship Id="rId14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3258185</xdr:colOff>
      <xdr:row>0</xdr:row>
      <xdr:rowOff>0</xdr:rowOff>
    </xdr:from>
    <xdr:to>
      <xdr:col>5</xdr:col>
      <xdr:colOff>4776470</xdr:colOff>
      <xdr:row>5</xdr:row>
      <xdr:rowOff>33655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1B4453B8-3128-6762-CE24-D6D2B74F2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5895" y="0"/>
              <a:ext cx="1617345" cy="948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1737359</xdr:colOff>
      <xdr:row>0</xdr:row>
      <xdr:rowOff>114301</xdr:rowOff>
    </xdr:from>
    <xdr:to>
      <xdr:col>5</xdr:col>
      <xdr:colOff>2954909</xdr:colOff>
      <xdr:row>4</xdr:row>
      <xdr:rowOff>114301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N PI">
              <a:extLst>
                <a:ext uri="{FF2B5EF4-FFF2-40B4-BE49-F238E27FC236}">
                  <a16:creationId xmlns:a16="http://schemas.microsoft.com/office/drawing/2014/main" id="{A9E5AEBC-8158-692A-FCB4-C3185E30D0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 P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8374" y="114301"/>
              <a:ext cx="1208025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3027045</xdr:colOff>
      <xdr:row>0</xdr:row>
      <xdr:rowOff>0</xdr:rowOff>
    </xdr:from>
    <xdr:to>
      <xdr:col>5</xdr:col>
      <xdr:colOff>1348740</xdr:colOff>
      <xdr:row>4</xdr:row>
      <xdr:rowOff>68579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ACTIVADO">
              <a:extLst>
                <a:ext uri="{FF2B5EF4-FFF2-40B4-BE49-F238E27FC236}">
                  <a16:creationId xmlns:a16="http://schemas.microsoft.com/office/drawing/2014/main" id="{6B75E05E-D768-D6EB-8043-F387E6C999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2940" y="0"/>
              <a:ext cx="1409700" cy="800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\Desktop\Dashboard\agente\ml_agent\dashboards\Categor&#237;a%20y%20subcategor&#237;a%20por%20c&#243;digo.xlsx" TargetMode="External"/><Relationship Id="rId1" Type="http://schemas.openxmlformats.org/officeDocument/2006/relationships/externalLinkPath" Target="Categor&#237;a%20y%20subcategor&#237;a%20por%20c&#243;d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COD_ART</v>
          </cell>
          <cell r="B1" t="str">
            <v>DESCRIPCION</v>
          </cell>
          <cell r="C1" t="str">
            <v>CATEGORIA</v>
          </cell>
          <cell r="D1" t="str">
            <v>SUB_CATEGORIA</v>
          </cell>
        </row>
        <row r="2">
          <cell r="A2" t="str">
            <v>SU-TED303</v>
          </cell>
          <cell r="B2" t="str">
            <v>Tensiómetro digital de brazo all in one</v>
          </cell>
          <cell r="C2" t="str">
            <v>SALUD</v>
          </cell>
          <cell r="D2" t="str">
            <v>TENSIOMETROS</v>
          </cell>
        </row>
        <row r="3">
          <cell r="A3" t="str">
            <v>CRW-1108 GDA</v>
          </cell>
          <cell r="B3" t="str">
            <v>TERMÓMETRO CLÍNICO DE GALIO</v>
          </cell>
          <cell r="C3" t="str">
            <v>SALUD</v>
          </cell>
          <cell r="D3" t="str">
            <v>TERMOMETROS</v>
          </cell>
        </row>
        <row r="4">
          <cell r="A4" t="str">
            <v>CRW-1108 SUFARMA</v>
          </cell>
          <cell r="B4" t="str">
            <v>TERMÓMETRO CLÍNICO DE GALIO</v>
          </cell>
          <cell r="C4" t="str">
            <v>SALUD</v>
          </cell>
          <cell r="D4" t="str">
            <v>TERMOMETROS</v>
          </cell>
        </row>
        <row r="5">
          <cell r="A5" t="str">
            <v>SU-CAL101</v>
          </cell>
          <cell r="B5" t="str">
            <v>ALMOHADILLA TERMICA ESTANDAR CALMI</v>
          </cell>
          <cell r="C5" t="str">
            <v>SALUD</v>
          </cell>
          <cell r="D5" t="str">
            <v>ALMOHADILLAS</v>
          </cell>
        </row>
        <row r="6">
          <cell r="A6" t="str">
            <v>SU-CAL102</v>
          </cell>
          <cell r="B6" t="str">
            <v>ALMOHADILLA TERMICA CERVICAL CALIO</v>
          </cell>
          <cell r="C6" t="str">
            <v>SALUD</v>
          </cell>
          <cell r="D6" t="str">
            <v>ALMOHADILLAS</v>
          </cell>
        </row>
        <row r="7">
          <cell r="A7" t="str">
            <v>SU-CAL103</v>
          </cell>
          <cell r="B7" t="str">
            <v>ALMOHADILLA TERMICA DE CINTURA CALIDOOR</v>
          </cell>
          <cell r="C7" t="str">
            <v>SALUD</v>
          </cell>
          <cell r="D7" t="str">
            <v>ALMOHADILLAS</v>
          </cell>
        </row>
        <row r="8">
          <cell r="A8" t="str">
            <v>SU-CAL104</v>
          </cell>
          <cell r="B8" t="str">
            <v>CALIENTA CAMA DE 2 PLAZAS HEATSENSE-2P</v>
          </cell>
          <cell r="C8" t="str">
            <v>BIENESTAR</v>
          </cell>
          <cell r="D8" t="str">
            <v>MANTAS TERMICAS</v>
          </cell>
        </row>
        <row r="9">
          <cell r="A9" t="str">
            <v>SU-CAL105</v>
          </cell>
          <cell r="B9" t="str">
            <v>CALIENTA CAMA DE 1 PLAZA HEATSENSE-1P</v>
          </cell>
          <cell r="C9" t="str">
            <v>BIENESTAR</v>
          </cell>
          <cell r="D9" t="str">
            <v>MANTAS TERMICAS</v>
          </cell>
        </row>
        <row r="10">
          <cell r="A10" t="str">
            <v>SU-OXI801N</v>
          </cell>
          <cell r="B10" t="str">
            <v>OXIMETRO DE PULSO OXISENSE NEGRO</v>
          </cell>
          <cell r="C10" t="str">
            <v>SALUD</v>
          </cell>
          <cell r="D10" t="str">
            <v>OXIMETRO</v>
          </cell>
        </row>
        <row r="11">
          <cell r="A11" t="str">
            <v>SU-OXI801B</v>
          </cell>
          <cell r="B11" t="str">
            <v>OXIMETRO DE PULSO OXISENSE BLANCO</v>
          </cell>
          <cell r="C11" t="str">
            <v>SALUD</v>
          </cell>
          <cell r="D11" t="str">
            <v>OXIMETRO</v>
          </cell>
        </row>
        <row r="12">
          <cell r="A12" t="str">
            <v>SU-CAL106G</v>
          </cell>
          <cell r="B12" t="str">
            <v>MANTA TERMICA THERMASOFT-G</v>
          </cell>
          <cell r="C12" t="str">
            <v>BIENESTAR</v>
          </cell>
          <cell r="D12" t="str">
            <v>MANTAS TERMICAS</v>
          </cell>
        </row>
        <row r="13">
          <cell r="A13" t="str">
            <v>SU-CAL106B</v>
          </cell>
          <cell r="B13" t="str">
            <v>MANTA TERMICA THERMASOFT-B</v>
          </cell>
          <cell r="C13" t="str">
            <v>BIENESTAR</v>
          </cell>
          <cell r="D13" t="str">
            <v>MANTAS TERMICAS</v>
          </cell>
        </row>
        <row r="14">
          <cell r="A14" t="str">
            <v>SU-TEA201</v>
          </cell>
          <cell r="B14" t="str">
            <v>TENSIOMETRO ANEROIDE BIOPRESS</v>
          </cell>
          <cell r="C14" t="str">
            <v>SALUD</v>
          </cell>
          <cell r="D14" t="str">
            <v>TENSIOMETROS</v>
          </cell>
        </row>
        <row r="15">
          <cell r="A15" t="str">
            <v>SU-TEA202</v>
          </cell>
          <cell r="B15" t="str">
            <v>TENSIOMETRO ANEROIDE CON ESTETOSCOPIO PULSE CARE</v>
          </cell>
          <cell r="C15" t="str">
            <v>SALUD</v>
          </cell>
          <cell r="D15" t="str">
            <v>TENSIOMETROS</v>
          </cell>
        </row>
        <row r="16">
          <cell r="A16" t="str">
            <v>SU-AEC104</v>
          </cell>
          <cell r="B16" t="str">
            <v>SPACE CHAMBER NEONATAL</v>
          </cell>
          <cell r="C16" t="str">
            <v>SALUD</v>
          </cell>
          <cell r="D16" t="str">
            <v>AEROCAMARAS</v>
          </cell>
        </row>
        <row r="17">
          <cell r="A17" t="str">
            <v>SU-AEC105</v>
          </cell>
          <cell r="B17" t="str">
            <v>SPACE CHAMBER INFANTIL</v>
          </cell>
          <cell r="C17" t="str">
            <v>SALUD</v>
          </cell>
          <cell r="D17" t="str">
            <v>AEROCAMARAS</v>
          </cell>
        </row>
        <row r="18">
          <cell r="A18" t="str">
            <v>SU-AEC106</v>
          </cell>
          <cell r="B18" t="str">
            <v>SPACE CHAMBER ADULTO</v>
          </cell>
          <cell r="C18" t="str">
            <v>SALUD</v>
          </cell>
          <cell r="D18" t="str">
            <v>AEROCAMARAS</v>
          </cell>
        </row>
        <row r="19">
          <cell r="A19" t="str">
            <v>SU-TED301</v>
          </cell>
          <cell r="B19" t="str">
            <v>TENSIOMETRO DIGITAL DE BRAZO CARE PRESS</v>
          </cell>
          <cell r="C19" t="str">
            <v>SALUD</v>
          </cell>
          <cell r="D19" t="str">
            <v>TENSIOMETROS</v>
          </cell>
        </row>
        <row r="20">
          <cell r="A20" t="str">
            <v>SU-TED302</v>
          </cell>
          <cell r="B20" t="str">
            <v>TENSIOMETRO DIGITAL DE BRAZO CUFF PRESS</v>
          </cell>
          <cell r="C20" t="str">
            <v>SALUD</v>
          </cell>
          <cell r="D20" t="str">
            <v>TENSIOMETROS</v>
          </cell>
        </row>
        <row r="21">
          <cell r="A21" t="str">
            <v>SU-TEB401</v>
          </cell>
          <cell r="B21" t="str">
            <v>TENSIOMETRO DIGITAL DE MUÑECA VITALPRESS</v>
          </cell>
          <cell r="C21" t="str">
            <v>SALUD</v>
          </cell>
          <cell r="D21" t="str">
            <v>TENSIOMETROS</v>
          </cell>
        </row>
        <row r="22">
          <cell r="A22" t="str">
            <v>SU-TER401</v>
          </cell>
          <cell r="B22" t="str">
            <v>TERMOMETRO DIGITAL THERMOCARE</v>
          </cell>
          <cell r="C22" t="str">
            <v>SALUD</v>
          </cell>
          <cell r="D22" t="str">
            <v>TERMOMETROS</v>
          </cell>
        </row>
        <row r="23">
          <cell r="A23" t="str">
            <v>SU-TER402</v>
          </cell>
          <cell r="B23" t="str">
            <v>TERMOMETRO DIGITAL FLEXIBLE DIGITHERM</v>
          </cell>
          <cell r="C23" t="str">
            <v>SALUD</v>
          </cell>
          <cell r="D23" t="str">
            <v>TERMOMETROS</v>
          </cell>
        </row>
        <row r="24">
          <cell r="A24" t="str">
            <v>SU-AUD502</v>
          </cell>
          <cell r="B24" t="str">
            <v>AUDIFONO BTE RECARGABLE AUDIONOVA</v>
          </cell>
          <cell r="C24" t="str">
            <v>SALUD</v>
          </cell>
          <cell r="D24" t="str">
            <v>AUDIFONO</v>
          </cell>
        </row>
        <row r="25">
          <cell r="A25" t="str">
            <v>SU-AUD501</v>
          </cell>
          <cell r="B25" t="str">
            <v>AUDIFONO BTE A PILA SENSE WAVE</v>
          </cell>
          <cell r="C25" t="str">
            <v>SALUD</v>
          </cell>
          <cell r="D25" t="str">
            <v>AUDIFONO</v>
          </cell>
        </row>
        <row r="26">
          <cell r="A26" t="str">
            <v>SU-NEP602</v>
          </cell>
          <cell r="B26" t="str">
            <v>NEBULIZADOR A PISTON - PUREAIR</v>
          </cell>
          <cell r="C26" t="str">
            <v>SALUD</v>
          </cell>
          <cell r="D26" t="str">
            <v>NEBULIZADOR</v>
          </cell>
        </row>
        <row r="27">
          <cell r="A27" t="str">
            <v>SU-NEP601</v>
          </cell>
          <cell r="B27" t="str">
            <v>NEBULIZADOR A PISTON - AIRSTREAM</v>
          </cell>
          <cell r="C27" t="str">
            <v>SALUD</v>
          </cell>
          <cell r="D27" t="str">
            <v>NEBULIZADOR</v>
          </cell>
        </row>
        <row r="28">
          <cell r="A28" t="str">
            <v>SU-NEP603</v>
          </cell>
          <cell r="B28" t="str">
            <v>NEBULIZADOR A PISTON - CLEARBREATH</v>
          </cell>
          <cell r="C28" t="str">
            <v>SALUD</v>
          </cell>
          <cell r="D28" t="str">
            <v>NEBULIZADOR</v>
          </cell>
        </row>
        <row r="29">
          <cell r="A29" t="str">
            <v>SU-NEM701</v>
          </cell>
          <cell r="B29" t="str">
            <v>NEBULIZADOR MESH - CLEARMIST-PRO</v>
          </cell>
          <cell r="C29" t="str">
            <v>SALUD</v>
          </cell>
          <cell r="D29" t="str">
            <v>NEBULIZADOR</v>
          </cell>
        </row>
        <row r="30">
          <cell r="A30" t="str">
            <v>SU-NEM702</v>
          </cell>
          <cell r="B30" t="str">
            <v>NEBULIZADOR MESH VITA AIR</v>
          </cell>
          <cell r="C30" t="str">
            <v>SALUD</v>
          </cell>
          <cell r="D30" t="str">
            <v>NEBULIZADOR</v>
          </cell>
        </row>
        <row r="31">
          <cell r="A31" t="str">
            <v>SU-NEM703</v>
          </cell>
          <cell r="B31" t="str">
            <v>NEBULIZADOR MINI MESH AEROMIN</v>
          </cell>
          <cell r="C31" t="str">
            <v>SALUD</v>
          </cell>
          <cell r="D31" t="str">
            <v>NEBULIZADOR</v>
          </cell>
        </row>
        <row r="32">
          <cell r="A32" t="str">
            <v>SU-ANP100</v>
          </cell>
          <cell r="B32" t="str">
            <v>KIT DE ACCESORIOS PARA NEBULIZADOR OXYBREATH</v>
          </cell>
          <cell r="C32" t="str">
            <v>SALUD</v>
          </cell>
          <cell r="D32" t="str">
            <v>ACCESORIOS</v>
          </cell>
        </row>
        <row r="33">
          <cell r="A33" t="str">
            <v>SU-BLZ118N</v>
          </cell>
          <cell r="B33" t="str">
            <v>BALANZA DIGITAL PERSONAL SCALEUP</v>
          </cell>
          <cell r="C33" t="str">
            <v>BIENESTAR</v>
          </cell>
          <cell r="D33" t="str">
            <v>BALANZAS</v>
          </cell>
        </row>
        <row r="34">
          <cell r="A34" t="str">
            <v>SU-BLZ218N</v>
          </cell>
          <cell r="B34" t="str">
            <v>BALANZA BLUETOOTH MEDIVITA</v>
          </cell>
          <cell r="C34" t="str">
            <v>BIENESTAR</v>
          </cell>
          <cell r="D34" t="str">
            <v>BALANZAS</v>
          </cell>
        </row>
        <row r="35">
          <cell r="A35" t="str">
            <v>SU-BLZ318B</v>
          </cell>
          <cell r="B35" t="str">
            <v>BALANZA BLUETOOTH BALANCEIQ-B</v>
          </cell>
          <cell r="C35" t="str">
            <v>BIENESTAR</v>
          </cell>
          <cell r="D35" t="str">
            <v>BALANZAS</v>
          </cell>
        </row>
        <row r="36">
          <cell r="A36" t="str">
            <v>SU-BLZ318N</v>
          </cell>
          <cell r="B36" t="str">
            <v>BALANZA BLUETOOTH BALANCEIQ-N</v>
          </cell>
          <cell r="C36" t="str">
            <v>BIENESTAR</v>
          </cell>
          <cell r="D36" t="str">
            <v>BALANZAS</v>
          </cell>
        </row>
        <row r="37">
          <cell r="A37" t="str">
            <v>SU-TER403</v>
          </cell>
          <cell r="B37" t="str">
            <v>TERMOMETRO DE GALIO BIOTHERM</v>
          </cell>
          <cell r="C37" t="str">
            <v>SALUD</v>
          </cell>
          <cell r="D37" t="str">
            <v>TERMOMETROS</v>
          </cell>
        </row>
        <row r="38">
          <cell r="A38" t="str">
            <v>SU-MSJ102F</v>
          </cell>
          <cell r="B38" t="str">
            <v>MASAJEADOR PARA PIES REFLEXWAVE</v>
          </cell>
          <cell r="C38" t="str">
            <v>BIENESTAR</v>
          </cell>
          <cell r="D38" t="str">
            <v>MASAJEADORES</v>
          </cell>
        </row>
        <row r="39">
          <cell r="A39" t="str">
            <v>SU-MSJ101C</v>
          </cell>
          <cell r="B39" t="str">
            <v>MASAJEADOR DE CUELLO Y HOMBROS CERVIPULSE</v>
          </cell>
          <cell r="C39" t="str">
            <v>BIENESTAR</v>
          </cell>
          <cell r="D39" t="str">
            <v>MASAJEADORES</v>
          </cell>
        </row>
        <row r="40">
          <cell r="A40" t="str">
            <v>SU-MSJ</v>
          </cell>
          <cell r="B40" t="str">
            <v>PISTOLA PARA MASAJES VITALTOUCH</v>
          </cell>
          <cell r="C40" t="str">
            <v>BIENESTAR</v>
          </cell>
          <cell r="D40" t="str">
            <v>MASAJEADORES</v>
          </cell>
        </row>
        <row r="41">
          <cell r="A41" t="str">
            <v>SU-AEC101</v>
          </cell>
          <cell r="B41" t="str">
            <v>AEROCAMARA NEONATAL</v>
          </cell>
          <cell r="C41" t="str">
            <v>SALUD</v>
          </cell>
          <cell r="D41" t="str">
            <v>AEROCAMARAS</v>
          </cell>
        </row>
        <row r="42">
          <cell r="A42" t="str">
            <v>SU-AEC102</v>
          </cell>
          <cell r="B42" t="str">
            <v>AEROCAMARA INFANTIL</v>
          </cell>
          <cell r="C42" t="str">
            <v>SALUD</v>
          </cell>
          <cell r="D42" t="str">
            <v>AEROCAMARAS</v>
          </cell>
        </row>
        <row r="43">
          <cell r="A43" t="str">
            <v>SU-AEC103</v>
          </cell>
          <cell r="B43" t="str">
            <v>AEROCAMARA ADULTO</v>
          </cell>
          <cell r="C43" t="str">
            <v>SALUD</v>
          </cell>
          <cell r="D43" t="str">
            <v>AEROCAMARAS</v>
          </cell>
        </row>
        <row r="44">
          <cell r="A44" t="str">
            <v>SU-MSJ103P</v>
          </cell>
          <cell r="B44" t="str">
            <v>PISTOLA PARA MASAJES VITALTOUCH</v>
          </cell>
          <cell r="C44" t="str">
            <v>BIENESTAR</v>
          </cell>
          <cell r="D44" t="str">
            <v>MASAJEADORES</v>
          </cell>
        </row>
        <row r="45">
          <cell r="A45" t="str">
            <v>SP-SU-NE-KIT</v>
          </cell>
          <cell r="B45" t="str">
            <v>ACCESSORIES KIT</v>
          </cell>
          <cell r="C45" t="str">
            <v>SALUD</v>
          </cell>
          <cell r="D45" t="str">
            <v>NEBULIZADOR</v>
          </cell>
        </row>
        <row r="46">
          <cell r="A46" t="str">
            <v>SP-SU-TEA20-CUF</v>
          </cell>
          <cell r="B46" t="str">
            <v>CUFF WITH BLADDER - AMBOS MODELOS</v>
          </cell>
          <cell r="C46" t="str">
            <v>SALUD</v>
          </cell>
          <cell r="D46" t="str">
            <v>TENSIOMETROS</v>
          </cell>
        </row>
        <row r="47">
          <cell r="A47" t="str">
            <v>SP-SU-TEA20-BLU</v>
          </cell>
          <cell r="B47" t="str">
            <v>BLUB - AMBOS MODELOS</v>
          </cell>
          <cell r="C47" t="str">
            <v>SALUD</v>
          </cell>
          <cell r="D47" t="str">
            <v>TENSIOMETROS</v>
          </cell>
        </row>
        <row r="48">
          <cell r="A48" t="str">
            <v>SP-SU-TEA20-VAL</v>
          </cell>
          <cell r="B48" t="str">
            <v>VALVE - AMBOS MODELOS</v>
          </cell>
          <cell r="C48" t="str">
            <v>SALUD</v>
          </cell>
          <cell r="D48" t="str">
            <v>TENSIOMETROS</v>
          </cell>
        </row>
        <row r="49">
          <cell r="A49" t="str">
            <v>SP-SU-TEA20-MAN</v>
          </cell>
          <cell r="B49" t="str">
            <v>MANOMETER - AMBOS MODELOS</v>
          </cell>
          <cell r="C49" t="str">
            <v>SALUD</v>
          </cell>
          <cell r="D49" t="str">
            <v>TENSIOMETROS</v>
          </cell>
        </row>
        <row r="50">
          <cell r="A50" t="str">
            <v>SP-SU-TEA202-CHE</v>
          </cell>
          <cell r="B50" t="str">
            <v>CHESTPIECE</v>
          </cell>
          <cell r="C50" t="str">
            <v>SALUD</v>
          </cell>
          <cell r="D50" t="str">
            <v>TENSIOMETROS</v>
          </cell>
        </row>
        <row r="51">
          <cell r="A51" t="str">
            <v>SU-MSJ101C-PUC</v>
          </cell>
          <cell r="B51" t="str">
            <v>PU COVER</v>
          </cell>
          <cell r="C51" t="str">
            <v>BIENESTAR</v>
          </cell>
          <cell r="D51" t="str">
            <v>MASAJEADORES</v>
          </cell>
        </row>
        <row r="52">
          <cell r="A52" t="str">
            <v>SU-MSJ101C-HLC</v>
          </cell>
          <cell r="B52" t="str">
            <v>MASSAGE HEAD LOWER COVER</v>
          </cell>
          <cell r="C52" t="str">
            <v>BIENESTAR</v>
          </cell>
          <cell r="D52" t="str">
            <v>MASAJEADORES</v>
          </cell>
        </row>
        <row r="53">
          <cell r="A53" t="str">
            <v>SU-MSJ101C-HUC</v>
          </cell>
          <cell r="B53" t="str">
            <v>MASSAGE HEAD UPPER COVER</v>
          </cell>
          <cell r="C53" t="str">
            <v>BIENESTAR</v>
          </cell>
          <cell r="D53" t="str">
            <v>MASAJEADORES</v>
          </cell>
        </row>
        <row r="54">
          <cell r="A54" t="str">
            <v>SU-MSJ101C-GER</v>
          </cell>
          <cell r="B54" t="str">
            <v>GEAR R</v>
          </cell>
          <cell r="C54" t="str">
            <v>BIENESTAR</v>
          </cell>
          <cell r="D54" t="str">
            <v>MASAJEADORES</v>
          </cell>
        </row>
        <row r="55">
          <cell r="A55" t="str">
            <v>SU-MSJ101C-GEL</v>
          </cell>
          <cell r="B55" t="str">
            <v>GEAR L</v>
          </cell>
          <cell r="C55" t="str">
            <v>BIENESTAR</v>
          </cell>
          <cell r="D55" t="str">
            <v>MASAJEADORES</v>
          </cell>
        </row>
        <row r="56">
          <cell r="A56" t="str">
            <v>SU-MSJ101C-LP1</v>
          </cell>
          <cell r="B56" t="str">
            <v>LIGHT PCB</v>
          </cell>
          <cell r="C56" t="str">
            <v>BIENESTAR</v>
          </cell>
          <cell r="D56" t="str">
            <v>MASAJEADORES</v>
          </cell>
        </row>
        <row r="57">
          <cell r="A57" t="str">
            <v>SU-MSJ101C-LP2</v>
          </cell>
          <cell r="B57" t="str">
            <v>LIGHT PCB</v>
          </cell>
          <cell r="C57" t="str">
            <v>BIENESTAR</v>
          </cell>
          <cell r="D57" t="str">
            <v>MASAJEADORES</v>
          </cell>
        </row>
        <row r="58">
          <cell r="A58" t="str">
            <v>SU-MSJ101C-M01</v>
          </cell>
          <cell r="B58" t="str">
            <v>MOTOR</v>
          </cell>
          <cell r="C58" t="str">
            <v>BIENESTAR</v>
          </cell>
          <cell r="D58" t="str">
            <v>MASAJEADORES</v>
          </cell>
        </row>
        <row r="59">
          <cell r="A59" t="str">
            <v>SU-MSJ101C-M02</v>
          </cell>
          <cell r="B59" t="str">
            <v>MOTOR</v>
          </cell>
          <cell r="C59" t="str">
            <v>BIENESTAR</v>
          </cell>
          <cell r="D59" t="str">
            <v>MASAJEADORES</v>
          </cell>
        </row>
        <row r="60">
          <cell r="A60" t="str">
            <v>SU-MSJ101C-B01</v>
          </cell>
          <cell r="B60" t="str">
            <v>BUTTON</v>
          </cell>
          <cell r="C60" t="str">
            <v>BIENESTAR</v>
          </cell>
          <cell r="D60" t="str">
            <v>MASAJEADORES</v>
          </cell>
        </row>
        <row r="61">
          <cell r="A61" t="str">
            <v>SU-MSJ101C-B02</v>
          </cell>
          <cell r="B61" t="str">
            <v>BUTTON</v>
          </cell>
          <cell r="C61" t="str">
            <v>BIENESTAR</v>
          </cell>
          <cell r="D61" t="str">
            <v>MASAJEADORES</v>
          </cell>
        </row>
        <row r="62">
          <cell r="A62" t="str">
            <v>SU-MSJ101C-P01</v>
          </cell>
          <cell r="B62" t="str">
            <v>PCB</v>
          </cell>
          <cell r="C62" t="str">
            <v>BIENESTAR</v>
          </cell>
          <cell r="D62" t="str">
            <v>MASAJEADORES</v>
          </cell>
        </row>
        <row r="63">
          <cell r="A63" t="str">
            <v>SU-MSJ101C-P02</v>
          </cell>
          <cell r="B63" t="str">
            <v>PCB</v>
          </cell>
          <cell r="C63" t="str">
            <v>BIENESTAR</v>
          </cell>
          <cell r="D63" t="str">
            <v>MASAJEADORES</v>
          </cell>
        </row>
        <row r="64">
          <cell r="A64" t="str">
            <v>SU-MSJ101C-DCC</v>
          </cell>
          <cell r="B64" t="str">
            <v>DC CABLE</v>
          </cell>
          <cell r="C64" t="str">
            <v>BIENESTAR</v>
          </cell>
          <cell r="D64" t="str">
            <v>MASAJEADORES</v>
          </cell>
        </row>
        <row r="65">
          <cell r="A65" t="str">
            <v>SU-MSJ101C-A01</v>
          </cell>
          <cell r="B65" t="str">
            <v>ADAPTOR</v>
          </cell>
          <cell r="C65" t="str">
            <v>BIENESTAR</v>
          </cell>
          <cell r="D65" t="str">
            <v>MASAJEADORES</v>
          </cell>
        </row>
        <row r="66">
          <cell r="A66" t="str">
            <v>SU-MSJ101C-A02</v>
          </cell>
          <cell r="B66" t="str">
            <v>ADAPTOR</v>
          </cell>
          <cell r="C66" t="str">
            <v>BIENESTAR</v>
          </cell>
          <cell r="D66" t="str">
            <v>MASAJEADORES</v>
          </cell>
        </row>
        <row r="67">
          <cell r="A67" t="str">
            <v>SU-MSJ101C-CAD</v>
          </cell>
          <cell r="B67" t="str">
            <v>CAR ADAPTOR</v>
          </cell>
          <cell r="C67" t="str">
            <v>BIENESTAR</v>
          </cell>
          <cell r="D67" t="str">
            <v>MASAJEADORES</v>
          </cell>
        </row>
        <row r="68">
          <cell r="A68" t="str">
            <v>SU-MSJ101C-COB</v>
          </cell>
          <cell r="B68" t="str">
            <v>COLOR BOX</v>
          </cell>
          <cell r="C68" t="str">
            <v>BIENESTAR</v>
          </cell>
          <cell r="D68" t="str">
            <v>MASAJEADORES</v>
          </cell>
        </row>
        <row r="69">
          <cell r="A69" t="str">
            <v>SU-MSJ101C-CAB</v>
          </cell>
          <cell r="B69" t="str">
            <v>CARTON BOX</v>
          </cell>
          <cell r="C69" t="str">
            <v>BIENESTAR</v>
          </cell>
          <cell r="D69" t="str">
            <v>MASAJEADORES</v>
          </cell>
        </row>
        <row r="70">
          <cell r="A70" t="str">
            <v>SU-MSJ101C-SPO</v>
          </cell>
          <cell r="B70" t="str">
            <v>SPONGE</v>
          </cell>
          <cell r="C70" t="str">
            <v>BIENESTAR</v>
          </cell>
          <cell r="D70" t="str">
            <v>MASAJEADORES</v>
          </cell>
        </row>
        <row r="71">
          <cell r="A71" t="str">
            <v>SU-MSJ102F-UPC</v>
          </cell>
          <cell r="B71" t="str">
            <v>UPPER COVER</v>
          </cell>
          <cell r="C71" t="str">
            <v>BIENESTAR</v>
          </cell>
          <cell r="D71" t="str">
            <v>MASAJEADORES</v>
          </cell>
        </row>
        <row r="72">
          <cell r="A72" t="str">
            <v>SU-MSJ102F-LOC</v>
          </cell>
          <cell r="B72" t="str">
            <v>LOWER COVER</v>
          </cell>
          <cell r="C72" t="str">
            <v>BIENESTAR</v>
          </cell>
          <cell r="D72" t="str">
            <v>MASAJEADORES</v>
          </cell>
        </row>
        <row r="73">
          <cell r="A73" t="str">
            <v>SU-MSJ102F-B01</v>
          </cell>
          <cell r="B73" t="str">
            <v>BUTTON</v>
          </cell>
          <cell r="C73" t="str">
            <v>BIENESTAR</v>
          </cell>
          <cell r="D73" t="str">
            <v>MASAJEADORES</v>
          </cell>
        </row>
        <row r="74">
          <cell r="A74" t="str">
            <v>SU-MSJ102F-LGS</v>
          </cell>
          <cell r="B74" t="str">
            <v>LIGHT GUIDE STRIP</v>
          </cell>
          <cell r="C74" t="str">
            <v>BIENESTAR</v>
          </cell>
          <cell r="D74" t="str">
            <v>MASAJEADORES</v>
          </cell>
        </row>
        <row r="75">
          <cell r="A75" t="str">
            <v>SU-MSJ102F-FRH</v>
          </cell>
          <cell r="B75" t="str">
            <v>FOOT ROLLER MASSAGE HEAD</v>
          </cell>
          <cell r="C75" t="str">
            <v>BIENESTAR</v>
          </cell>
          <cell r="D75" t="str">
            <v>MASAJEADORES</v>
          </cell>
        </row>
        <row r="76">
          <cell r="A76" t="str">
            <v>SU-MSJ102F-FMH</v>
          </cell>
          <cell r="B76" t="str">
            <v>FOOT MASSAGE HEAD</v>
          </cell>
          <cell r="C76" t="str">
            <v>BIENESTAR</v>
          </cell>
          <cell r="D76" t="str">
            <v>MASAJEADORES</v>
          </cell>
        </row>
        <row r="77">
          <cell r="A77" t="str">
            <v>SU-MSJ102F-HMH</v>
          </cell>
          <cell r="B77" t="str">
            <v>HEEL MASSAGE HEAD</v>
          </cell>
          <cell r="C77" t="str">
            <v>BIENESTAR</v>
          </cell>
          <cell r="D77" t="str">
            <v>MASAJEADORES</v>
          </cell>
        </row>
        <row r="78">
          <cell r="A78" t="str">
            <v>SU-MSJ102F-DRW</v>
          </cell>
          <cell r="B78" t="str">
            <v>DRIVING WHEEL</v>
          </cell>
          <cell r="C78" t="str">
            <v>BIENESTAR</v>
          </cell>
          <cell r="D78" t="str">
            <v>MASAJEADORES</v>
          </cell>
        </row>
        <row r="79">
          <cell r="A79" t="str">
            <v>SU-MSJ102F-PLB</v>
          </cell>
          <cell r="B79" t="str">
            <v>PLASTIC BEARINGS</v>
          </cell>
          <cell r="C79" t="str">
            <v>BIENESTAR</v>
          </cell>
          <cell r="D79" t="str">
            <v>MASAJEADORES</v>
          </cell>
        </row>
        <row r="80">
          <cell r="A80" t="str">
            <v>SU-MSJ102F-FCR</v>
          </cell>
          <cell r="B80" t="str">
            <v>FOOT CLOTH COVER RING</v>
          </cell>
          <cell r="C80" t="str">
            <v>BIENESTAR</v>
          </cell>
          <cell r="D80" t="str">
            <v>MASAJEADORES</v>
          </cell>
        </row>
        <row r="81">
          <cell r="A81" t="str">
            <v>SU-MSJ102F-TDL</v>
          </cell>
          <cell r="B81" t="str">
            <v>THREE DIRECT LINKS</v>
          </cell>
          <cell r="C81" t="str">
            <v>BIENESTAR</v>
          </cell>
          <cell r="D81" t="str">
            <v>MASAJEADORES</v>
          </cell>
        </row>
        <row r="82">
          <cell r="A82" t="str">
            <v>SU-MSJ102F-ATU</v>
          </cell>
          <cell r="B82" t="str">
            <v>AIR TUBE</v>
          </cell>
          <cell r="C82" t="str">
            <v>BIENESTAR</v>
          </cell>
          <cell r="D82" t="str">
            <v>MASAJEADORES</v>
          </cell>
        </row>
        <row r="83">
          <cell r="A83" t="str">
            <v>SU-MSJ102F-W01</v>
          </cell>
          <cell r="B83" t="str">
            <v>WEAR RESISTANT FABRIC ON THE SOLES OF THE FEET</v>
          </cell>
          <cell r="C83" t="str">
            <v>BIENESTAR</v>
          </cell>
          <cell r="D83" t="str">
            <v>MASAJEADORES</v>
          </cell>
        </row>
        <row r="84">
          <cell r="A84" t="str">
            <v>SU-MSJ102F-W02</v>
          </cell>
          <cell r="B84" t="str">
            <v>WEAR RESISTANT CLOTH COVER RING ON THE SOLE OF THEFOOT</v>
          </cell>
          <cell r="C84" t="str">
            <v>BIENESTAR</v>
          </cell>
          <cell r="D84" t="str">
            <v>MASAJEADORES</v>
          </cell>
        </row>
        <row r="85">
          <cell r="A85" t="str">
            <v>SU-MSJ102F-FC1</v>
          </cell>
          <cell r="B85" t="str">
            <v>FOOT CLOTH COVER</v>
          </cell>
          <cell r="C85" t="str">
            <v>BIENESTAR</v>
          </cell>
          <cell r="D85" t="str">
            <v>MASAJEADORES</v>
          </cell>
        </row>
        <row r="86">
          <cell r="A86" t="str">
            <v>SU-MSJ102F-FC2</v>
          </cell>
          <cell r="B86" t="str">
            <v>FOOT CLOTH COVER INNER RING</v>
          </cell>
          <cell r="C86" t="str">
            <v>BIENESTAR</v>
          </cell>
          <cell r="D86" t="str">
            <v>MASAJEADORES</v>
          </cell>
        </row>
        <row r="87">
          <cell r="A87" t="str">
            <v>SU-MSJ102F-RCO</v>
          </cell>
          <cell r="B87" t="str">
            <v>REMOTE CONTROL</v>
          </cell>
          <cell r="C87" t="str">
            <v>BIENESTAR</v>
          </cell>
          <cell r="D87" t="str">
            <v>MASAJEADORES</v>
          </cell>
        </row>
        <row r="88">
          <cell r="A88" t="str">
            <v>SU-MSJ102F-P01</v>
          </cell>
          <cell r="B88" t="str">
            <v>MAIN PCB</v>
          </cell>
          <cell r="C88" t="str">
            <v>BIENESTAR</v>
          </cell>
          <cell r="D88" t="str">
            <v>MASAJEADORES</v>
          </cell>
        </row>
        <row r="89">
          <cell r="A89" t="str">
            <v>SU-MSJ102F-P02</v>
          </cell>
          <cell r="B89" t="str">
            <v>CONTROLLER PCB</v>
          </cell>
          <cell r="C89" t="str">
            <v>BIENESTAR</v>
          </cell>
          <cell r="D89" t="str">
            <v>MASAJEADORES</v>
          </cell>
        </row>
        <row r="90">
          <cell r="A90" t="str">
            <v>SU-MSJ102F-M01</v>
          </cell>
          <cell r="B90" t="str">
            <v>MOTOR</v>
          </cell>
          <cell r="C90" t="str">
            <v>BIENESTAR</v>
          </cell>
          <cell r="D90" t="str">
            <v>MASAJEADORES</v>
          </cell>
        </row>
        <row r="91">
          <cell r="A91" t="str">
            <v>SU-MSJ102F-SOV</v>
          </cell>
          <cell r="B91" t="str">
            <v>24V SOLENOID VALVE</v>
          </cell>
          <cell r="C91" t="str">
            <v>BIENESTAR</v>
          </cell>
          <cell r="D91" t="str">
            <v>MASAJEADORES</v>
          </cell>
        </row>
        <row r="92">
          <cell r="A92" t="str">
            <v>SU-MSJ102F-APU</v>
          </cell>
          <cell r="B92" t="str">
            <v>AIR PUMP</v>
          </cell>
          <cell r="C92" t="str">
            <v>BIENESTAR</v>
          </cell>
          <cell r="D92" t="str">
            <v>MASAJEADORES</v>
          </cell>
        </row>
        <row r="93">
          <cell r="A93" t="str">
            <v>SU-MSJ102F-HEL</v>
          </cell>
          <cell r="B93" t="str">
            <v>HEATING ELEMENT</v>
          </cell>
          <cell r="C93" t="str">
            <v>BIENESTAR</v>
          </cell>
          <cell r="D93" t="str">
            <v>MASAJEADORES</v>
          </cell>
        </row>
        <row r="94">
          <cell r="A94" t="str">
            <v>SU-MSJ102F-A01</v>
          </cell>
          <cell r="B94" t="str">
            <v>ADAPTOR</v>
          </cell>
          <cell r="C94" t="str">
            <v>BIENESTAR</v>
          </cell>
          <cell r="D94" t="str">
            <v>MASAJEADORES</v>
          </cell>
        </row>
        <row r="95">
          <cell r="A95" t="str">
            <v>SU-MSJ102F-DCL</v>
          </cell>
          <cell r="B95" t="str">
            <v>DC LINE</v>
          </cell>
          <cell r="C95" t="str">
            <v>BIENESTAR</v>
          </cell>
          <cell r="D95" t="str">
            <v>MASAJEADORES</v>
          </cell>
        </row>
        <row r="96">
          <cell r="A96" t="str">
            <v>SU-MSJ102F-AB1</v>
          </cell>
          <cell r="B96" t="str">
            <v>AIR BAG</v>
          </cell>
          <cell r="C96" t="str">
            <v>BIENESTAR</v>
          </cell>
          <cell r="D96" t="str">
            <v>MASAJEADORES</v>
          </cell>
        </row>
        <row r="97">
          <cell r="A97" t="str">
            <v>SU-MSJ102F-CP1</v>
          </cell>
          <cell r="B97" t="str">
            <v>CYLINDRICAL PIN</v>
          </cell>
          <cell r="C97" t="str">
            <v>BIENESTAR</v>
          </cell>
          <cell r="D97" t="str">
            <v>MASAJEADORES</v>
          </cell>
        </row>
        <row r="98">
          <cell r="A98" t="str">
            <v>SU-MSJ102F-COB</v>
          </cell>
          <cell r="B98" t="str">
            <v>COLOR BOX</v>
          </cell>
          <cell r="C98" t="str">
            <v>BIENESTAR</v>
          </cell>
          <cell r="D98" t="str">
            <v>MASAJEADORES</v>
          </cell>
        </row>
        <row r="99">
          <cell r="A99" t="str">
            <v>SU-MSJ102F-CAB</v>
          </cell>
          <cell r="B99" t="str">
            <v>CARTON BOX</v>
          </cell>
          <cell r="C99" t="str">
            <v>BIENESTAR</v>
          </cell>
          <cell r="D99" t="str">
            <v>MASAJEADORES</v>
          </cell>
        </row>
        <row r="100">
          <cell r="A100" t="str">
            <v>SU-MSJ103P-LS1</v>
          </cell>
          <cell r="B100" t="str">
            <v>LOWER SHELL</v>
          </cell>
          <cell r="C100" t="str">
            <v>BIENESTAR</v>
          </cell>
          <cell r="D100" t="str">
            <v>MASAJEADORES</v>
          </cell>
        </row>
        <row r="101">
          <cell r="A101" t="str">
            <v>SU-MSJ103P-US1</v>
          </cell>
          <cell r="B101" t="str">
            <v>UPPER SHELL</v>
          </cell>
          <cell r="C101" t="str">
            <v>BIENESTAR</v>
          </cell>
          <cell r="D101" t="str">
            <v>MASAJEADORES</v>
          </cell>
        </row>
        <row r="102">
          <cell r="A102" t="str">
            <v>SU-MSJ103P-GHK</v>
          </cell>
          <cell r="B102" t="str">
            <v>GUN HEAD KIT</v>
          </cell>
          <cell r="C102" t="str">
            <v>BIENESTAR</v>
          </cell>
          <cell r="D102" t="str">
            <v>MASAJEADORES</v>
          </cell>
        </row>
        <row r="103">
          <cell r="A103" t="str">
            <v>SU-MSJ103P-BOC</v>
          </cell>
          <cell r="B103" t="str">
            <v>BOTTOM COVER</v>
          </cell>
          <cell r="C103" t="str">
            <v>BIENESTAR</v>
          </cell>
          <cell r="D103" t="str">
            <v>MASAJEADORES</v>
          </cell>
        </row>
        <row r="104">
          <cell r="A104" t="str">
            <v>SU-MSJ103P-BAC</v>
          </cell>
          <cell r="B104" t="str">
            <v>BACK COVER</v>
          </cell>
          <cell r="C104" t="str">
            <v>BIENESTAR</v>
          </cell>
          <cell r="D104" t="str">
            <v>MASAJEADORES</v>
          </cell>
        </row>
        <row r="105">
          <cell r="A105" t="str">
            <v>SU-MSJ103P-RL1</v>
          </cell>
          <cell r="B105" t="str">
            <v>RATING LABEL</v>
          </cell>
          <cell r="C105" t="str">
            <v>BIENESTAR</v>
          </cell>
          <cell r="D105" t="str">
            <v>MASAJEADORES</v>
          </cell>
        </row>
        <row r="106">
          <cell r="A106" t="str">
            <v>SU-MSJ103P-GCS</v>
          </cell>
          <cell r="B106" t="str">
            <v>GEAR CONTROL STICKER (WITH TRANSPARENT)</v>
          </cell>
          <cell r="C106" t="str">
            <v>BIENESTAR</v>
          </cell>
          <cell r="D106" t="str">
            <v>MASAJEADORES</v>
          </cell>
        </row>
        <row r="107">
          <cell r="A107" t="str">
            <v>SU-MSJ103P-BUM</v>
          </cell>
          <cell r="B107" t="str">
            <v>BUMPER</v>
          </cell>
          <cell r="C107" t="str">
            <v>BIENESTAR</v>
          </cell>
          <cell r="D107" t="str">
            <v>MASAJEADORES</v>
          </cell>
        </row>
        <row r="108">
          <cell r="A108" t="str">
            <v>SU-MSJ103P-HAN</v>
          </cell>
          <cell r="B108" t="str">
            <v>HANDLEBAR</v>
          </cell>
          <cell r="C108" t="str">
            <v>BIENESTAR</v>
          </cell>
          <cell r="D108" t="str">
            <v>MASAJEADORES</v>
          </cell>
        </row>
        <row r="109">
          <cell r="A109" t="str">
            <v>SU-MSJ103P-M01</v>
          </cell>
          <cell r="B109" t="str">
            <v>MOTOR SUPPORT</v>
          </cell>
          <cell r="C109" t="str">
            <v>BIENESTAR</v>
          </cell>
          <cell r="D109" t="str">
            <v>MASAJEADORES</v>
          </cell>
        </row>
        <row r="110">
          <cell r="A110" t="str">
            <v>SU-MSJ103P-SHP</v>
          </cell>
          <cell r="B110" t="str">
            <v>SHOCK PAD</v>
          </cell>
          <cell r="C110" t="str">
            <v>BIENESTAR</v>
          </cell>
          <cell r="D110" t="str">
            <v>MASAJEADORES</v>
          </cell>
        </row>
        <row r="111">
          <cell r="A111" t="str">
            <v>SU-MSJ103P-M02</v>
          </cell>
          <cell r="B111" t="str">
            <v>12VMOTOR</v>
          </cell>
          <cell r="C111" t="str">
            <v>BIENESTAR</v>
          </cell>
          <cell r="D111" t="str">
            <v>MASAJEADORES</v>
          </cell>
        </row>
        <row r="112">
          <cell r="A112" t="str">
            <v>SU-MSJ103P-M03</v>
          </cell>
          <cell r="B112" t="str">
            <v>12VMOTOR</v>
          </cell>
          <cell r="C112" t="str">
            <v>BIENESTAR</v>
          </cell>
          <cell r="D112" t="str">
            <v>MASAJEADORES</v>
          </cell>
        </row>
        <row r="113">
          <cell r="A113" t="str">
            <v>SU-MSJ103P-ECB</v>
          </cell>
          <cell r="B113" t="str">
            <v>ECCENTRIC BLOCK3.0</v>
          </cell>
          <cell r="C113" t="str">
            <v>BIENESTAR</v>
          </cell>
          <cell r="D113" t="str">
            <v>MASAJEADORES</v>
          </cell>
        </row>
        <row r="114">
          <cell r="A114" t="str">
            <v>SU-MSJ103P-DSP</v>
          </cell>
          <cell r="B114" t="str">
            <v>DOUBLE SIDED PISTON</v>
          </cell>
          <cell r="C114" t="str">
            <v>BIENESTAR</v>
          </cell>
          <cell r="D114" t="str">
            <v>MASAJEADORES</v>
          </cell>
        </row>
        <row r="115">
          <cell r="A115" t="str">
            <v>SU-MSJ103P-BAS</v>
          </cell>
          <cell r="B115" t="str">
            <v>BEARING ASSEMBLY</v>
          </cell>
          <cell r="C115" t="str">
            <v>BIENESTAR</v>
          </cell>
          <cell r="D115" t="str">
            <v>MASAJEADORES</v>
          </cell>
        </row>
        <row r="116">
          <cell r="A116" t="str">
            <v>SU-MSJ103P-B01</v>
          </cell>
          <cell r="B116" t="str">
            <v>BATTERY</v>
          </cell>
          <cell r="C116" t="str">
            <v>BIENESTAR</v>
          </cell>
          <cell r="D116" t="str">
            <v>MASAJEADORES</v>
          </cell>
        </row>
        <row r="117">
          <cell r="A117" t="str">
            <v>SU-MSJ103P-B02</v>
          </cell>
          <cell r="B117" t="str">
            <v>BATTERY</v>
          </cell>
          <cell r="C117" t="str">
            <v>BIENESTAR</v>
          </cell>
          <cell r="D117" t="str">
            <v>MASAJEADORES</v>
          </cell>
        </row>
        <row r="118">
          <cell r="A118" t="str">
            <v>SU-MSJ103P-SP1</v>
          </cell>
          <cell r="B118" t="str">
            <v>SWITCH PCB BOARD</v>
          </cell>
          <cell r="C118" t="str">
            <v>BIENESTAR</v>
          </cell>
          <cell r="D118" t="str">
            <v>MASAJEADORES</v>
          </cell>
        </row>
        <row r="119">
          <cell r="A119" t="str">
            <v>SU-MSJ103P-SP2</v>
          </cell>
          <cell r="B119" t="str">
            <v>SWITCH PCB BOARD</v>
          </cell>
          <cell r="C119" t="str">
            <v>BIENESTAR</v>
          </cell>
          <cell r="D119" t="str">
            <v>MASAJEADORES</v>
          </cell>
        </row>
        <row r="120">
          <cell r="A120" t="str">
            <v>SU-MSJ103P-P01</v>
          </cell>
          <cell r="B120" t="str">
            <v>CONTROLLER PCB</v>
          </cell>
          <cell r="C120" t="str">
            <v>BIENESTAR</v>
          </cell>
          <cell r="D120" t="str">
            <v>MASAJEADORES</v>
          </cell>
        </row>
        <row r="121">
          <cell r="A121" t="str">
            <v>SU-MSJ103P-P02</v>
          </cell>
          <cell r="B121" t="str">
            <v>CONTROLLER PCB</v>
          </cell>
          <cell r="C121" t="str">
            <v>BIENESTAR</v>
          </cell>
          <cell r="D121" t="str">
            <v>MASAJEADORES</v>
          </cell>
        </row>
        <row r="122">
          <cell r="A122" t="str">
            <v>SU-MSJ103P-MH1</v>
          </cell>
          <cell r="B122" t="str">
            <v>MASSAGE HEADS</v>
          </cell>
          <cell r="C122" t="str">
            <v>BIENESTAR</v>
          </cell>
          <cell r="D122" t="str">
            <v>MASAJEADORES</v>
          </cell>
        </row>
        <row r="123">
          <cell r="A123" t="str">
            <v>SU-MSJ103P-MH2</v>
          </cell>
          <cell r="B123" t="str">
            <v>MASSAGE HEADS</v>
          </cell>
          <cell r="C123" t="str">
            <v>BIENESTAR</v>
          </cell>
          <cell r="D123" t="str">
            <v>MASAJEADORES</v>
          </cell>
        </row>
        <row r="124">
          <cell r="A124" t="str">
            <v>SP-SU-NEP601-PLC</v>
          </cell>
          <cell r="B124" t="str">
            <v>PLASTIC COVER（VP-C6）</v>
          </cell>
          <cell r="C124" t="str">
            <v>SALUD</v>
          </cell>
          <cell r="D124" t="str">
            <v>NEBULIZADOR</v>
          </cell>
        </row>
        <row r="125">
          <cell r="A125" t="str">
            <v>SP-SU-NEP603-MSK</v>
          </cell>
          <cell r="B125" t="str">
            <v>MASK</v>
          </cell>
          <cell r="C125" t="str">
            <v>SALUD</v>
          </cell>
          <cell r="D125" t="str">
            <v>NEBULIZADOR</v>
          </cell>
        </row>
        <row r="126">
          <cell r="A126" t="str">
            <v>SP-SU-NEP603-PWC</v>
          </cell>
          <cell r="B126" t="str">
            <v>POWER CABLE</v>
          </cell>
          <cell r="C126" t="str">
            <v>SALUD</v>
          </cell>
          <cell r="D126" t="str">
            <v>NEBULIZADOR</v>
          </cell>
        </row>
        <row r="127">
          <cell r="A127" t="str">
            <v>SP-SU-NEP603-CTB</v>
          </cell>
          <cell r="B127" t="str">
            <v>CONNECTING TUBE</v>
          </cell>
          <cell r="C127" t="str">
            <v>SALUD</v>
          </cell>
          <cell r="D127" t="str">
            <v>NEBULIZADOR</v>
          </cell>
        </row>
        <row r="128">
          <cell r="A128" t="str">
            <v>SP-SU-NEP603-MDC</v>
          </cell>
          <cell r="B128" t="str">
            <v>MEDICINE CUP</v>
          </cell>
          <cell r="C128" t="str">
            <v>SALUD</v>
          </cell>
          <cell r="D128" t="str">
            <v>NEBULIZADOR</v>
          </cell>
        </row>
        <row r="129">
          <cell r="A129" t="str">
            <v>SP-SU-NEP603-AFR</v>
          </cell>
          <cell r="B129" t="str">
            <v>AIR FILTER</v>
          </cell>
          <cell r="C129" t="str">
            <v>SALUD</v>
          </cell>
          <cell r="D129" t="str">
            <v>NEBULIZADOR</v>
          </cell>
        </row>
        <row r="130">
          <cell r="A130" t="str">
            <v>SP-SU-NEP603-NSP</v>
          </cell>
          <cell r="B130" t="str">
            <v>NOSEPIECE</v>
          </cell>
          <cell r="C130" t="str">
            <v>SALUD</v>
          </cell>
          <cell r="D130" t="str">
            <v>NEBULIZADOR</v>
          </cell>
        </row>
        <row r="131">
          <cell r="A131" t="str">
            <v>SP-SU-NEM701-MSK</v>
          </cell>
          <cell r="B131" t="str">
            <v>MASK</v>
          </cell>
          <cell r="C131" t="str">
            <v>SALUD</v>
          </cell>
          <cell r="D131" t="str">
            <v>NEBULIZADOR</v>
          </cell>
        </row>
        <row r="132">
          <cell r="A132" t="str">
            <v>SP-SU-NEM701-MTP</v>
          </cell>
          <cell r="B132" t="str">
            <v>MOUTHPIECE</v>
          </cell>
          <cell r="C132" t="str">
            <v>SALUD</v>
          </cell>
          <cell r="D132" t="str">
            <v>NEBULIZADOR</v>
          </cell>
        </row>
        <row r="133">
          <cell r="A133" t="str">
            <v>SP-SU-NEM701-MDC</v>
          </cell>
          <cell r="B133" t="str">
            <v>MEDICAL CUP</v>
          </cell>
          <cell r="C133" t="str">
            <v>SALUD</v>
          </cell>
          <cell r="D133" t="str">
            <v>NEBULIZADOR</v>
          </cell>
        </row>
        <row r="134">
          <cell r="A134" t="str">
            <v>SP-SU-NEM701-PCB</v>
          </cell>
          <cell r="B134" t="str">
            <v>VP-M1 PCBA</v>
          </cell>
          <cell r="C134" t="str">
            <v>SALUD</v>
          </cell>
          <cell r="D134" t="str">
            <v>NEBULIZADOR</v>
          </cell>
        </row>
        <row r="135">
          <cell r="A135" t="str">
            <v>SP-SU-NEM701-USB</v>
          </cell>
          <cell r="B135" t="str">
            <v>USB CABLE</v>
          </cell>
          <cell r="C135" t="str">
            <v>SALUD</v>
          </cell>
          <cell r="D135" t="str">
            <v>NEBULIZADOR</v>
          </cell>
        </row>
        <row r="136">
          <cell r="A136" t="str">
            <v>SP-SU-NEM701-BCV</v>
          </cell>
          <cell r="B136" t="str">
            <v>BATTERY COVER</v>
          </cell>
          <cell r="C136" t="str">
            <v>SALUD</v>
          </cell>
          <cell r="D136" t="str">
            <v>NEBULIZADOR</v>
          </cell>
        </row>
        <row r="137">
          <cell r="A137" t="str">
            <v>SP-SU-NEP702-MSK</v>
          </cell>
          <cell r="B137" t="str">
            <v>MASK</v>
          </cell>
          <cell r="C137" t="str">
            <v>SALUD</v>
          </cell>
          <cell r="D137" t="str">
            <v>NEBULIZADOR</v>
          </cell>
        </row>
        <row r="138">
          <cell r="A138" t="str">
            <v>SP-SU-NEM702-MTP</v>
          </cell>
          <cell r="B138" t="str">
            <v>MOUTHPIECE</v>
          </cell>
          <cell r="C138" t="str">
            <v>SALUD</v>
          </cell>
          <cell r="D138" t="str">
            <v>NEBULIZADOR</v>
          </cell>
        </row>
        <row r="139">
          <cell r="A139" t="str">
            <v>SP-SU-NEM702-MDC</v>
          </cell>
          <cell r="B139" t="str">
            <v>MEDICAL CUP</v>
          </cell>
          <cell r="C139" t="str">
            <v>SALUD</v>
          </cell>
          <cell r="D139" t="str">
            <v>NEBULIZADOR</v>
          </cell>
        </row>
        <row r="140">
          <cell r="A140" t="str">
            <v>SP-SU-NEM702-PCB</v>
          </cell>
          <cell r="B140" t="str">
            <v>VP-M11 PCBA</v>
          </cell>
          <cell r="C140" t="str">
            <v>SALUD</v>
          </cell>
          <cell r="D140" t="str">
            <v>NEBULIZADOR</v>
          </cell>
        </row>
        <row r="141">
          <cell r="A141" t="str">
            <v>SP-SU-NEM702-TCC</v>
          </cell>
          <cell r="B141" t="str">
            <v>VP-M11 TYPE-C CABLE</v>
          </cell>
          <cell r="C141" t="str">
            <v>SALUD</v>
          </cell>
          <cell r="D141" t="str">
            <v>NEBULIZADOR</v>
          </cell>
        </row>
        <row r="142">
          <cell r="A142" t="str">
            <v>SP-SU-NEM702-BCV</v>
          </cell>
          <cell r="B142" t="str">
            <v>BATTERY COVER</v>
          </cell>
          <cell r="C142" t="str">
            <v>SALUD</v>
          </cell>
          <cell r="D142" t="str">
            <v>NEBULIZADOR</v>
          </cell>
        </row>
        <row r="143">
          <cell r="A143" t="str">
            <v>SP-SU-NEM702-SBG</v>
          </cell>
          <cell r="B143" t="str">
            <v>VP-M11 STORAGE BAG</v>
          </cell>
          <cell r="C143" t="str">
            <v>SALUD</v>
          </cell>
          <cell r="D143" t="str">
            <v>NEBULIZADOR</v>
          </cell>
        </row>
        <row r="144">
          <cell r="A144" t="str">
            <v>SP-SU-NEP703-MSK</v>
          </cell>
          <cell r="B144" t="str">
            <v>MASK</v>
          </cell>
          <cell r="C144" t="str">
            <v>SALUD</v>
          </cell>
          <cell r="D144" t="str">
            <v>NEBULIZADOR</v>
          </cell>
        </row>
        <row r="145">
          <cell r="A145" t="str">
            <v>SP-SU-NEP703-MUC</v>
          </cell>
          <cell r="B145" t="str">
            <v>VP-M12 MAIN UNIT CONTROLLET</v>
          </cell>
          <cell r="C145" t="str">
            <v>SALUD</v>
          </cell>
          <cell r="D145" t="str">
            <v>NEBULIZADOR</v>
          </cell>
        </row>
        <row r="146">
          <cell r="A146" t="str">
            <v>SP-SU-NEM703-MDC</v>
          </cell>
          <cell r="B146" t="str">
            <v>MEDICAL CUP</v>
          </cell>
          <cell r="C146" t="str">
            <v>SALUD</v>
          </cell>
          <cell r="D146" t="str">
            <v>NEBULIZADOR</v>
          </cell>
        </row>
        <row r="147">
          <cell r="A147" t="str">
            <v>SP-SU-NEM703-SBG</v>
          </cell>
          <cell r="B147" t="str">
            <v>STORAGE BAG</v>
          </cell>
          <cell r="C147" t="str">
            <v>SALUD</v>
          </cell>
          <cell r="D147" t="str">
            <v>NEBULIZADOR</v>
          </cell>
        </row>
        <row r="148">
          <cell r="A148" t="str">
            <v>SP-SU-NEM703-AAD</v>
          </cell>
          <cell r="B148" t="str">
            <v>USB APPLE ADAPTER</v>
          </cell>
          <cell r="C148" t="str">
            <v>SALUD</v>
          </cell>
          <cell r="D148" t="str">
            <v>NEBULIZADOR</v>
          </cell>
        </row>
        <row r="149">
          <cell r="A149" t="str">
            <v>SU-MSJ101C-SPG</v>
          </cell>
          <cell r="B149" t="str">
            <v>SPUR GEAR</v>
          </cell>
          <cell r="C149" t="str">
            <v>BIENESTAR</v>
          </cell>
          <cell r="D149" t="str">
            <v>MASAJEADORES</v>
          </cell>
        </row>
        <row r="150">
          <cell r="A150" t="str">
            <v>SU-SEA109N</v>
          </cell>
          <cell r="B150" t="str">
            <v>SECADOR DE PELO MOTOR AC CON DIFUSOR</v>
          </cell>
          <cell r="C150" t="str">
            <v>CUIDADO PERSONAL</v>
          </cell>
          <cell r="D150" t="str">
            <v>BEAUTY</v>
          </cell>
        </row>
        <row r="151">
          <cell r="A151" t="str">
            <v>SU-SED108N</v>
          </cell>
          <cell r="B151" t="str">
            <v>SECADOR DE PELO MOTOR DC</v>
          </cell>
          <cell r="C151" t="str">
            <v>CUIDADO PERSONAL</v>
          </cell>
          <cell r="D151" t="str">
            <v>BEAUTY</v>
          </cell>
        </row>
        <row r="152">
          <cell r="A152" t="str">
            <v>SU-PLD107N</v>
          </cell>
          <cell r="B152" t="str">
            <v>PLANCHA DE PELO PTC LED 230°C</v>
          </cell>
          <cell r="C152" t="str">
            <v>CUIDADO PERSONAL</v>
          </cell>
          <cell r="D152" t="str">
            <v>BEAUTY</v>
          </cell>
        </row>
        <row r="153">
          <cell r="A153" t="str">
            <v>SU-PLS106N</v>
          </cell>
          <cell r="B153" t="str">
            <v>PLANCHA DE PELO PTC ON-OFF 220°C</v>
          </cell>
          <cell r="C153" t="str">
            <v>CUIDADO PERSONAL</v>
          </cell>
          <cell r="D153" t="str">
            <v>BEAUTY</v>
          </cell>
        </row>
        <row r="154">
          <cell r="A154" t="str">
            <v>SU-DEP105B</v>
          </cell>
          <cell r="B154" t="str">
            <v>DEPILADORA FEMENINA 2 VELOCIDADES, 1 ACCESORIO</v>
          </cell>
          <cell r="C154" t="str">
            <v>CUIDADO PERSONAL</v>
          </cell>
          <cell r="D154" t="str">
            <v>BEAUTY</v>
          </cell>
        </row>
        <row r="155">
          <cell r="A155" t="str">
            <v>SU-CES103N</v>
          </cell>
          <cell r="B155" t="str">
            <v>CEPILLO SECADOR 3 VELOCIDADES, CERDAS FLEXIBLES</v>
          </cell>
          <cell r="C155" t="str">
            <v>CUIDADO PERSONAL</v>
          </cell>
          <cell r="D155" t="str">
            <v>BEAUTY</v>
          </cell>
        </row>
        <row r="156">
          <cell r="A156" t="str">
            <v>SU-CLI110N</v>
          </cell>
          <cell r="B156" t="str">
            <v>CLIPPER DE CABELLO BRUSHLESS, 4 PEINES</v>
          </cell>
          <cell r="C156" t="str">
            <v>CUIDADO PERSONAL</v>
          </cell>
          <cell r="D156" t="str">
            <v>CARE</v>
          </cell>
        </row>
        <row r="157">
          <cell r="A157" t="str">
            <v>SU-TRI104N</v>
          </cell>
          <cell r="B157" t="str">
            <v>TRIMMER DE CABELLO PEINE REGULABLE BRUSHLES</v>
          </cell>
          <cell r="C157" t="str">
            <v>CUIDADO PERSONAL</v>
          </cell>
          <cell r="D157" t="str">
            <v>CARE</v>
          </cell>
        </row>
        <row r="158">
          <cell r="A158" t="str">
            <v>SU-BTR102N</v>
          </cell>
          <cell r="B158" t="str">
            <v>RECORTADORA INTIMA CUCHILLA CERÁMICA, DISPLAY LED</v>
          </cell>
          <cell r="C158" t="str">
            <v>CUIDADO PERSONAL</v>
          </cell>
          <cell r="D158" t="str">
            <v>CARE</v>
          </cell>
        </row>
        <row r="159">
          <cell r="A159" t="str">
            <v>SU-SHA101N</v>
          </cell>
          <cell r="B159" t="str">
            <v>AFEITADORA 3 CABEZALES CON DISPLAY LED</v>
          </cell>
          <cell r="C159" t="str">
            <v>CUIDADO PERSONAL</v>
          </cell>
          <cell r="D159" t="str">
            <v>CARE</v>
          </cell>
        </row>
        <row r="160">
          <cell r="A160" t="str">
            <v>SU-MSJ206P</v>
          </cell>
          <cell r="B160" t="str">
            <v>PISTOLA PARA MASAJES NUVIBE</v>
          </cell>
          <cell r="C160" t="str">
            <v>BIENESTAR</v>
          </cell>
          <cell r="D160" t="str">
            <v>MASAJEADORES</v>
          </cell>
        </row>
        <row r="161">
          <cell r="A161" t="str">
            <v>SU-MSJ205P</v>
          </cell>
          <cell r="B161" t="str">
            <v>PISTOLA PARA MASAJES MINIBEAT</v>
          </cell>
          <cell r="C161" t="str">
            <v>BIENESTAR</v>
          </cell>
          <cell r="D161" t="str">
            <v>MASAJEADORES</v>
          </cell>
        </row>
        <row r="162">
          <cell r="A162" t="str">
            <v>SU-MSJ208P</v>
          </cell>
          <cell r="B162" t="str">
            <v>PISTOLA DE MASAJES EXTENSIBLE RELAXPRO</v>
          </cell>
          <cell r="C162" t="str">
            <v>BIENESTAR</v>
          </cell>
          <cell r="D162" t="str">
            <v>MASAJEADORES</v>
          </cell>
        </row>
        <row r="163">
          <cell r="A163" t="str">
            <v>MJT-205P</v>
          </cell>
          <cell r="B163" t="str">
            <v>PISTOLA MASAJEADORA  8W</v>
          </cell>
          <cell r="C163" t="str">
            <v>BIENESTAR</v>
          </cell>
          <cell r="D163" t="str">
            <v>MASAJEADORES</v>
          </cell>
        </row>
        <row r="164">
          <cell r="A164" t="str">
            <v>SU-MSJ204C</v>
          </cell>
          <cell r="B164" t="str">
            <v>MASAJEADOR DE CUELLO Y HOMBROS CON BATERIA RECARGABLE CERVIAIR</v>
          </cell>
          <cell r="C164" t="str">
            <v>BIENESTAR</v>
          </cell>
          <cell r="D164" t="str">
            <v>MASAJEADORES</v>
          </cell>
        </row>
        <row r="165">
          <cell r="A165" t="str">
            <v>SU-MSJ207M</v>
          </cell>
          <cell r="B165" t="str">
            <v>MASAJEADOR MANUAL MULTIUSO VITAFLOW</v>
          </cell>
          <cell r="C165" t="str">
            <v>BIENESTAR</v>
          </cell>
          <cell r="D165" t="str">
            <v>MASAJEADORES</v>
          </cell>
        </row>
        <row r="166">
          <cell r="A166" t="str">
            <v>SU-MJT-206M</v>
          </cell>
          <cell r="B166" t="str">
            <v>MASAJEADOR MANUAL MULTIUSO 25W</v>
          </cell>
          <cell r="C166" t="str">
            <v>BIENESTAR</v>
          </cell>
          <cell r="D166" t="str">
            <v>MASAJEADORES</v>
          </cell>
        </row>
        <row r="167">
          <cell r="A167" t="str">
            <v>SU-MSJ109B</v>
          </cell>
          <cell r="B167" t="str">
            <v>BOTAS MASAJEADORAS DE COMPRESION DE AIRE PARA PIERNAS VITALEG</v>
          </cell>
          <cell r="C167" t="str">
            <v>BIENESTAR</v>
          </cell>
          <cell r="D167" t="str">
            <v>MASAJEADORES</v>
          </cell>
        </row>
        <row r="168">
          <cell r="A168" t="str">
            <v>SU-MSJ110B</v>
          </cell>
          <cell r="B168" t="str">
            <v>BOTAS MASAJEADORAS DE COMPRESION DE AIRE AIRWAVE</v>
          </cell>
          <cell r="C168" t="str">
            <v>BIENESTAR</v>
          </cell>
          <cell r="D168" t="str">
            <v>MASAJEADORES</v>
          </cell>
        </row>
        <row r="169">
          <cell r="A169" t="str">
            <v>SU-COL101</v>
          </cell>
          <cell r="B169" t="str">
            <v>COLCHON ANTIESCARAS DE PRESION ALTERNA CON BOMBA AIR BALANCE</v>
          </cell>
          <cell r="C169" t="str">
            <v>MOVILIDAD Y ORTOPEDIA</v>
          </cell>
          <cell r="D169" t="str">
            <v>COLCHON ANTIESCARAS</v>
          </cell>
        </row>
        <row r="170">
          <cell r="A170" t="str">
            <v>SU-TED201</v>
          </cell>
          <cell r="B170" t="str">
            <v>TENSIOMETRO DIGITAL DE BRAZO A PILAS - MEDIPRESS</v>
          </cell>
          <cell r="C170" t="str">
            <v>SALUD</v>
          </cell>
          <cell r="D170" t="str">
            <v>TENSIOMETROS</v>
          </cell>
        </row>
        <row r="171">
          <cell r="A171" t="str">
            <v>SU-TED202</v>
          </cell>
          <cell r="B171" t="str">
            <v>TENSIOMETRO DIGITAL DE BRAZO CON BATERIA - MEDIPRESS  PLUS</v>
          </cell>
          <cell r="C171" t="str">
            <v>SALUD</v>
          </cell>
          <cell r="D171" t="str">
            <v>TENSIOMETROS</v>
          </cell>
        </row>
        <row r="172">
          <cell r="A172" t="str">
            <v>SU-TED203</v>
          </cell>
          <cell r="B172" t="str">
            <v>TENSIOMETRO DIGITAL DE BRAZO CON BATERIA Y BLUETOOTH - MEDIPRESS  ULTRA</v>
          </cell>
          <cell r="C172" t="str">
            <v>SALUD</v>
          </cell>
          <cell r="D172" t="str">
            <v>TENSIOMETROS</v>
          </cell>
        </row>
        <row r="173">
          <cell r="A173" t="str">
            <v>SU-NEM201</v>
          </cell>
          <cell r="B173" t="str">
            <v>NEBULIZADOR MESH CON BATERIA RECARGABLE - AEROMESH GO</v>
          </cell>
          <cell r="C173" t="str">
            <v>SALUD</v>
          </cell>
          <cell r="D173" t="str">
            <v>NEBULIZADORES</v>
          </cell>
        </row>
        <row r="174">
          <cell r="A174" t="str">
            <v>SU-NEP101</v>
          </cell>
          <cell r="B174" t="str">
            <v>NEBULIZADOR A PISTON COMPACTO DC - AEROPULSE</v>
          </cell>
          <cell r="C174" t="str">
            <v>SALUD</v>
          </cell>
          <cell r="D174" t="str">
            <v>NEBULIZADOR</v>
          </cell>
        </row>
        <row r="175">
          <cell r="A175" t="str">
            <v>SP-SU-NEM703-ADI</v>
          </cell>
          <cell r="B175" t="str">
            <v>ADAPTADOR IPHONE SU-NEM703</v>
          </cell>
          <cell r="C175" t="str">
            <v>SALUD</v>
          </cell>
          <cell r="D175" t="str">
            <v>NEBULIZADOR</v>
          </cell>
        </row>
        <row r="176">
          <cell r="A176" t="str">
            <v>SU-SIL101</v>
          </cell>
          <cell r="B176" t="str">
            <v>SILLA DE RUEDAS - MOVIX LITE</v>
          </cell>
          <cell r="C176" t="str">
            <v>MOVILIDAD Y ORTOPEDIA</v>
          </cell>
          <cell r="D176" t="str">
            <v>SILLA DE RUEDAS</v>
          </cell>
        </row>
        <row r="177">
          <cell r="A177" t="str">
            <v>SU-SIL102</v>
          </cell>
          <cell r="B177" t="str">
            <v>SILLA DE RUEDAS - MOVIX ONE</v>
          </cell>
          <cell r="C177" t="str">
            <v>MOVILIDAD Y ORTOPEDIA</v>
          </cell>
          <cell r="D177" t="str">
            <v>SILLA DE RUEDAS</v>
          </cell>
        </row>
        <row r="178">
          <cell r="A178" t="str">
            <v>SU-AND101</v>
          </cell>
          <cell r="B178" t="str">
            <v>ANDADOR ROLLATOR - WALKER PRO</v>
          </cell>
          <cell r="C178" t="str">
            <v>MOVILIDAD Y ORTOPEDIA</v>
          </cell>
          <cell r="D178" t="str">
            <v>ANDADORES</v>
          </cell>
        </row>
        <row r="179">
          <cell r="A179" t="str">
            <v>SU-AND102</v>
          </cell>
          <cell r="B179" t="str">
            <v>ANDADADOR SIN RUEDAS - WALKER</v>
          </cell>
          <cell r="C179" t="str">
            <v>MOVILIDAD Y ORTOPEDIA</v>
          </cell>
          <cell r="D179" t="str">
            <v>ANDADORES</v>
          </cell>
        </row>
        <row r="180">
          <cell r="A180" t="str">
            <v>SU-AND103</v>
          </cell>
          <cell r="B180" t="str">
            <v>ANDADADOR CON RUEDAS - WALKER PLUS</v>
          </cell>
          <cell r="C180" t="str">
            <v>MOVILIDAD Y ORTOPEDIA</v>
          </cell>
          <cell r="D180" t="str">
            <v>ANDADORES</v>
          </cell>
        </row>
        <row r="181">
          <cell r="A181" t="str">
            <v>SU-MUL101</v>
          </cell>
          <cell r="B181" t="str">
            <v>MULETAS ADULTO - MOVEON</v>
          </cell>
          <cell r="C181" t="str">
            <v>MOVILIDAD Y ORTOPEDIA</v>
          </cell>
          <cell r="D181" t="str">
            <v>MULETAS</v>
          </cell>
        </row>
        <row r="182">
          <cell r="A182" t="str">
            <v>SU-TIR100</v>
          </cell>
          <cell r="B182" t="str">
            <v>TIRAS PARA GLUCOMETRO (50 UNIDADES)</v>
          </cell>
          <cell r="C182" t="str">
            <v>SALUD</v>
          </cell>
          <cell r="D182" t="str">
            <v>GLUCOMETRO</v>
          </cell>
        </row>
        <row r="183">
          <cell r="A183" t="str">
            <v>SU-GLU100B</v>
          </cell>
          <cell r="B183" t="str">
            <v>GLUCOMETRO</v>
          </cell>
          <cell r="C183" t="str">
            <v>SALUD</v>
          </cell>
          <cell r="D183" t="str">
            <v>GLUCOMETRO</v>
          </cell>
        </row>
        <row r="184">
          <cell r="A184" t="str">
            <v>SU-AUD503B</v>
          </cell>
          <cell r="B184" t="str">
            <v>AUDIFONOS RECARGABLES - DOS AUDIFONOS CON CAJA RECARGABLE</v>
          </cell>
          <cell r="C184" t="str">
            <v>SALUD</v>
          </cell>
          <cell r="D184" t="str">
            <v>AUDIFONO</v>
          </cell>
        </row>
        <row r="185">
          <cell r="A185" t="str">
            <v>SU-TED302R</v>
          </cell>
          <cell r="B185" t="str">
            <v>TENSIOMETRO DIGITAL DE BRAZO CUFF PRESS</v>
          </cell>
          <cell r="C185" t="str">
            <v>SALUD</v>
          </cell>
          <cell r="D185" t="str">
            <v>TENSIOMETROS</v>
          </cell>
        </row>
        <row r="186">
          <cell r="A186" t="str">
            <v>CRW-1108 GDA X 12</v>
          </cell>
          <cell r="B186" t="str">
            <v>TERMÓMETRO CLÍNICO DE GALIO X 12 UNIDADES</v>
          </cell>
          <cell r="C186" t="str">
            <v>SALUD</v>
          </cell>
          <cell r="D186" t="str">
            <v>TERMOMETROS</v>
          </cell>
        </row>
        <row r="187">
          <cell r="A187" t="str">
            <v>COMBO1-SALUD</v>
          </cell>
          <cell r="B187" t="str">
            <v>KIT ENFERMERIA (OXIMETRO + TENSIOMETRO + TERMOMETRO)</v>
          </cell>
          <cell r="C187" t="str">
            <v>SALUD</v>
          </cell>
          <cell r="D187" t="str">
            <v>COMBO</v>
          </cell>
        </row>
        <row r="188">
          <cell r="A188" t="str">
            <v>COMBO2-SALUD</v>
          </cell>
          <cell r="B188" t="str">
            <v>NEBULIZADOR + TERMOMETRO</v>
          </cell>
          <cell r="C188" t="str">
            <v>SALUD</v>
          </cell>
          <cell r="D188" t="str">
            <v>COMBO</v>
          </cell>
        </row>
        <row r="189">
          <cell r="A189" t="str">
            <v>COMBO3-SALUD</v>
          </cell>
          <cell r="B189" t="str">
            <v>AEROCAMARA + TERMOMETRO</v>
          </cell>
          <cell r="C189" t="str">
            <v>SALUD</v>
          </cell>
          <cell r="D189" t="str">
            <v>COMBO</v>
          </cell>
        </row>
        <row r="190">
          <cell r="A190" t="str">
            <v>AUC-2040VL</v>
          </cell>
          <cell r="B190" t="str">
            <v>AURICULAR CONSTRICTORAUC-2040VL</v>
          </cell>
          <cell r="C190" t="str">
            <v>AUDIO</v>
          </cell>
          <cell r="D190" t="str">
            <v>AURICULARES</v>
          </cell>
        </row>
        <row r="191">
          <cell r="A191" t="str">
            <v>AVA-BT301B</v>
          </cell>
          <cell r="B191" t="str">
            <v>AURICULARES AIWA BLUETOOTH AVA-BT301B / BLANCO</v>
          </cell>
          <cell r="C191" t="str">
            <v>AUDIO</v>
          </cell>
          <cell r="D191" t="str">
            <v>AURICULARES</v>
          </cell>
        </row>
        <row r="192">
          <cell r="A192" t="str">
            <v>AVA-BT301N</v>
          </cell>
          <cell r="B192" t="str">
            <v>AURICULARES AIWA BLUETOOTH AVA-BT301N / NEGROS</v>
          </cell>
          <cell r="C192" t="str">
            <v>AUDIO</v>
          </cell>
          <cell r="D192" t="str">
            <v>AURICULARES</v>
          </cell>
        </row>
        <row r="193">
          <cell r="A193" t="str">
            <v>AW-AVB602C</v>
          </cell>
          <cell r="B193" t="str">
            <v>AURICULARES AIWA BT601 CREMA</v>
          </cell>
          <cell r="C193" t="str">
            <v>AUDIO</v>
          </cell>
          <cell r="D193" t="str">
            <v>AURICULARES</v>
          </cell>
        </row>
        <row r="194">
          <cell r="A194" t="str">
            <v>AW-AVB602N</v>
          </cell>
          <cell r="B194" t="str">
            <v>AURICULAR INALÁMBRICO BLUETOOTH ON EAR AIWA AVA-BT601N</v>
          </cell>
          <cell r="C194" t="str">
            <v>AUDIO</v>
          </cell>
          <cell r="D194" t="str">
            <v>AURICULARES</v>
          </cell>
        </row>
        <row r="195">
          <cell r="A195" t="str">
            <v>AVA-BT701N</v>
          </cell>
          <cell r="B195" t="str">
            <v>AURICULAR INALÁMBRICO BLUETOOTH ON EAR AIWA AVA-BT701N</v>
          </cell>
          <cell r="C195" t="str">
            <v>AUDIO</v>
          </cell>
          <cell r="D195" t="str">
            <v>AURICULARES</v>
          </cell>
        </row>
        <row r="196">
          <cell r="A196" t="str">
            <v>AVA-102N</v>
          </cell>
          <cell r="B196" t="str">
            <v>AURICULAR ON EAR VINCHA AIWA CON CABLE Y MICRÓFONO</v>
          </cell>
          <cell r="C196" t="str">
            <v>AUDIO</v>
          </cell>
          <cell r="D196" t="str">
            <v>AURICULARES</v>
          </cell>
        </row>
        <row r="197">
          <cell r="A197" t="str">
            <v>AUC-3050RG</v>
          </cell>
          <cell r="B197" t="str">
            <v>AURICULAR CONSTRICTOR GAMING AUC-3050RG</v>
          </cell>
          <cell r="C197" t="str">
            <v>AUDIO</v>
          </cell>
          <cell r="D197" t="str">
            <v>AURICULARES</v>
          </cell>
        </row>
        <row r="198">
          <cell r="A198" t="str">
            <v>AVA-BT501C</v>
          </cell>
          <cell r="B198" t="str">
            <v>AURICULAR INALÁMBRICO BLUETOOTH ON EAR AIWA AVA-BT501C</v>
          </cell>
          <cell r="C198" t="str">
            <v>AUDIO</v>
          </cell>
          <cell r="D198" t="str">
            <v>AURICULARES</v>
          </cell>
        </row>
        <row r="199">
          <cell r="A199" t="str">
            <v>AVA-BT501N</v>
          </cell>
          <cell r="B199" t="str">
            <v>AURICULAR INALÁMBRICO BLUETOOTH ON EAR AIWA AVA-BT501N</v>
          </cell>
          <cell r="C199" t="str">
            <v>AUDIO</v>
          </cell>
          <cell r="D199" t="str">
            <v>AURICULARES</v>
          </cell>
        </row>
        <row r="200">
          <cell r="A200" t="str">
            <v>AUC-1040RL</v>
          </cell>
          <cell r="B200" t="str">
            <v>AURICULAR CONSTRICTOR AUC-1040RL</v>
          </cell>
          <cell r="C200" t="str">
            <v>AUDIO</v>
          </cell>
          <cell r="D200" t="str">
            <v>AURICULARES</v>
          </cell>
        </row>
        <row r="201">
          <cell r="A201" t="str">
            <v>AUC-1040VL</v>
          </cell>
          <cell r="B201" t="str">
            <v>AURICULAR CONSTRICTOR AUC-1040VL</v>
          </cell>
          <cell r="C201" t="str">
            <v>AUDIO</v>
          </cell>
          <cell r="D201" t="str">
            <v>AURICULARES</v>
          </cell>
        </row>
        <row r="202">
          <cell r="A202" t="str">
            <v>AW-P2016B</v>
          </cell>
          <cell r="B202" t="str">
            <v>PARLANTE AIWA BLUETOOTH AW-P2016B 1X6,5W PMPO</v>
          </cell>
          <cell r="C202" t="str">
            <v>AUDIO</v>
          </cell>
          <cell r="D202" t="str">
            <v>PARLANTES PORTATILES</v>
          </cell>
        </row>
        <row r="203">
          <cell r="A203" t="str">
            <v>AW-PP580</v>
          </cell>
          <cell r="B203" t="str">
            <v>PARLANTE INALÁMBRICO PORTÁTIL AIWA AW-PP580 WATERPROOF 160W</v>
          </cell>
          <cell r="C203" t="str">
            <v>AUDIO</v>
          </cell>
          <cell r="D203" t="str">
            <v>PARLANTES PORTATILES</v>
          </cell>
        </row>
        <row r="204">
          <cell r="A204" t="str">
            <v>AW-P2016A</v>
          </cell>
          <cell r="B204" t="str">
            <v>PARLANTE AIWA BLUETOOTH AW-P2016A 1X6,5W PMPO</v>
          </cell>
          <cell r="C204" t="str">
            <v>AUDIO</v>
          </cell>
          <cell r="D204" t="str">
            <v>PARLANTES PORTATILES</v>
          </cell>
        </row>
        <row r="205">
          <cell r="A205" t="str">
            <v>AW-PP205</v>
          </cell>
          <cell r="B205" t="str">
            <v>PARLANTE INALÁMBRICO PORTÁTIL AIWA AW-PP205 WATERPROOF</v>
          </cell>
          <cell r="C205" t="str">
            <v>AUDIO</v>
          </cell>
          <cell r="D205" t="str">
            <v>PARLANTES PORTATILES</v>
          </cell>
        </row>
        <row r="206">
          <cell r="A206" t="str">
            <v>AW-P225P</v>
          </cell>
          <cell r="B206" t="str">
            <v>PARLANTE BLUETOOTH PORTÁTIL AIWA AW-P225P 80W MEGA BASS</v>
          </cell>
          <cell r="C206" t="str">
            <v>AUDIO</v>
          </cell>
          <cell r="D206" t="str">
            <v>PARLANTES PORTATILES</v>
          </cell>
        </row>
        <row r="207">
          <cell r="A207" t="str">
            <v>AW-PP265</v>
          </cell>
          <cell r="B207" t="str">
            <v>PARLANTE INALÁMBRICO PORTÁTIL AW-PP265</v>
          </cell>
          <cell r="C207" t="str">
            <v>AUDIO</v>
          </cell>
          <cell r="D207" t="str">
            <v>PARLANTES PORTATILES</v>
          </cell>
        </row>
        <row r="208">
          <cell r="A208" t="str">
            <v>AW-PP106</v>
          </cell>
          <cell r="B208" t="str">
            <v>PARLANTE INALÁMBRICO PORTÁTIL AIWA AW-PP106 WATERPROOF</v>
          </cell>
          <cell r="C208" t="str">
            <v>AUDIO</v>
          </cell>
          <cell r="D208" t="str">
            <v>PARLANTES PORTATILES</v>
          </cell>
        </row>
        <row r="209">
          <cell r="A209" t="str">
            <v>AW-PP210</v>
          </cell>
          <cell r="B209" t="str">
            <v>PARLANTE INALAMBRICO PORTATIL AW-PP210</v>
          </cell>
          <cell r="C209" t="str">
            <v>AUDIO</v>
          </cell>
          <cell r="D209" t="str">
            <v>PARLANTES PORTATILES</v>
          </cell>
        </row>
        <row r="210">
          <cell r="A210" t="str">
            <v>AW-BS500N</v>
          </cell>
          <cell r="B210" t="str">
            <v>BARRA DE SONIDO AIWA AW-BS500N</v>
          </cell>
          <cell r="C210" t="str">
            <v>AUDIO</v>
          </cell>
          <cell r="D210" t="str">
            <v>SOUNDBAR</v>
          </cell>
        </row>
        <row r="211">
          <cell r="A211" t="str">
            <v>AW-BS780N</v>
          </cell>
          <cell r="B211" t="str">
            <v>BARRA DE SONIDO AIWA AW-BS780N</v>
          </cell>
          <cell r="C211" t="str">
            <v>AUDIO</v>
          </cell>
          <cell r="D211" t="str">
            <v>SOUNDBAR</v>
          </cell>
        </row>
        <row r="212">
          <cell r="A212" t="str">
            <v>AW-T2021</v>
          </cell>
          <cell r="B212" t="str">
            <v>TORRE AIWA BLUETOOTH AW-T2021 PMPO 9500W</v>
          </cell>
          <cell r="C212" t="str">
            <v>AUDIO</v>
          </cell>
          <cell r="D212" t="str">
            <v>TORRES DE SONIDO</v>
          </cell>
        </row>
        <row r="213">
          <cell r="A213" t="str">
            <v>AW-T2022</v>
          </cell>
          <cell r="B213" t="str">
            <v>TORRE AIWA BLUETOOTH AW-T2022 PMPO 8500W</v>
          </cell>
          <cell r="C213" t="str">
            <v>AUDIO</v>
          </cell>
          <cell r="D213" t="str">
            <v>TORRES DE SONIDO</v>
          </cell>
        </row>
        <row r="214">
          <cell r="A214" t="str">
            <v>AW-T2018R</v>
          </cell>
          <cell r="B214" t="str">
            <v>TORRE AIWA BLUETOOTH AW-T2018R PMPO 8000W</v>
          </cell>
          <cell r="C214" t="str">
            <v>AUDIO</v>
          </cell>
          <cell r="D214" t="str">
            <v>TORRES DE SONIDO</v>
          </cell>
        </row>
        <row r="215">
          <cell r="A215" t="str">
            <v>AW-P1510D-SN</v>
          </cell>
          <cell r="B215" t="str">
            <v>TORRE AIWA BLUETOOTH AW-P1510D-SN PMPO 7000W</v>
          </cell>
          <cell r="C215" t="str">
            <v>AUDIO</v>
          </cell>
          <cell r="D215" t="str">
            <v>TORRES DE SONIDO</v>
          </cell>
        </row>
        <row r="216">
          <cell r="A216" t="str">
            <v>AW-P240D-SN</v>
          </cell>
          <cell r="B216" t="str">
            <v>TORRE AIWA BLUETOOTH AW-P240D-SN PMPO 2500W</v>
          </cell>
          <cell r="C216" t="str">
            <v>AUDIO</v>
          </cell>
          <cell r="D216" t="str">
            <v>PARLANTES PORTATILES</v>
          </cell>
        </row>
        <row r="217">
          <cell r="A217" t="str">
            <v>AW-T2050R</v>
          </cell>
          <cell r="B217" t="str">
            <v>TORRE AIWA BLUETOOTH AW-T2050R PMPO 7000W</v>
          </cell>
          <cell r="C217" t="str">
            <v>AUDIO</v>
          </cell>
          <cell r="D217" t="str">
            <v>TORRES DE SONIDO</v>
          </cell>
        </row>
        <row r="218">
          <cell r="A218" t="str">
            <v>AW-T2203</v>
          </cell>
          <cell r="B218" t="str">
            <v>TORRE AIWA BLUETOOTH AW-T2203 2X10W PMPO 12500W</v>
          </cell>
          <cell r="C218" t="str">
            <v>AUDIO</v>
          </cell>
          <cell r="D218" t="str">
            <v>TORRES DE SONIDO</v>
          </cell>
        </row>
        <row r="219">
          <cell r="A219" t="str">
            <v>AW-T806F-PB</v>
          </cell>
          <cell r="B219" t="str">
            <v>TORRE AIWA BLUETOOTH AW-T806F-PB PMPO 6500W</v>
          </cell>
          <cell r="C219" t="str">
            <v>AUDIO</v>
          </cell>
          <cell r="D219" t="str">
            <v>TORRES DE SONIDO</v>
          </cell>
        </row>
        <row r="220">
          <cell r="A220" t="str">
            <v>AW-T2202</v>
          </cell>
          <cell r="B220" t="str">
            <v>TORRE AIWA BLUETOOTH AW-T2202 2X8W PMPO 8500W</v>
          </cell>
          <cell r="C220" t="str">
            <v>AUDIO</v>
          </cell>
          <cell r="D220" t="str">
            <v>TORRES DE SONIDO</v>
          </cell>
        </row>
        <row r="221">
          <cell r="A221" t="str">
            <v>AW-P450D-SN</v>
          </cell>
          <cell r="B221" t="str">
            <v>TORRE AIWA BLUETOOTH AW-P450D-SN PMPO 4500W</v>
          </cell>
          <cell r="C221" t="str">
            <v>AUDIO</v>
          </cell>
          <cell r="D221" t="str">
            <v>PARLANTES PORTATILES</v>
          </cell>
        </row>
        <row r="222">
          <cell r="A222" t="str">
            <v>AW-P1200D-SN</v>
          </cell>
          <cell r="B222" t="str">
            <v>TORRE AIWA BLUETOOTH AW-P1200D-SN PMPO 6000W</v>
          </cell>
          <cell r="C222" t="str">
            <v>AUDIO</v>
          </cell>
          <cell r="D222" t="str">
            <v>PARLANTES PORTATILES</v>
          </cell>
        </row>
        <row r="223">
          <cell r="A223" t="str">
            <v>AW-T2302</v>
          </cell>
          <cell r="B223" t="str">
            <v>TORRE AIWA BLUETOOTH AW-T2302 2X8W PMPO 8500W</v>
          </cell>
          <cell r="C223" t="str">
            <v>AUDIO</v>
          </cell>
          <cell r="D223" t="str">
            <v>TORRES DE SONIDO</v>
          </cell>
        </row>
        <row r="224">
          <cell r="A224" t="str">
            <v>AW-T2008-PB</v>
          </cell>
          <cell r="B224" t="str">
            <v>TORRE AIWA BLUETOOTH AW-T2008PB PMPO 13000W</v>
          </cell>
          <cell r="C224" t="str">
            <v>AUDIO</v>
          </cell>
          <cell r="D224" t="str">
            <v>TORRES DE SONIDO</v>
          </cell>
        </row>
        <row r="225">
          <cell r="A225" t="str">
            <v>AW-T2303</v>
          </cell>
          <cell r="B225" t="str">
            <v>TORRE AIWA BLUETOOTH AW-T2303 2X10W PMPO 12500W</v>
          </cell>
          <cell r="C225" t="str">
            <v>AUDIO</v>
          </cell>
          <cell r="D225" t="str">
            <v>TORRES DE SONIDO</v>
          </cell>
        </row>
        <row r="226">
          <cell r="A226" t="str">
            <v>AW-T3010</v>
          </cell>
          <cell r="B226" t="str">
            <v>TORRE AIWA BLUETOOTH AW-T3010</v>
          </cell>
          <cell r="C226" t="str">
            <v>AUDIO</v>
          </cell>
          <cell r="D226" t="str">
            <v>TORRES DE SONIDO</v>
          </cell>
        </row>
        <row r="227">
          <cell r="A227" t="str">
            <v>AW-T3012</v>
          </cell>
          <cell r="B227" t="str">
            <v>TORRE AIWA BLUETOOTH AW-T3012</v>
          </cell>
          <cell r="C227" t="str">
            <v>AUDIO</v>
          </cell>
          <cell r="D227" t="str">
            <v>TORRES DE SONIDO</v>
          </cell>
        </row>
        <row r="228">
          <cell r="A228" t="str">
            <v>AW-P180</v>
          </cell>
          <cell r="B228" t="str">
            <v>PARLANTE AIWA BLUETOOTH PMPO 5000W 1*8”</v>
          </cell>
          <cell r="C228" t="str">
            <v>AUDIO</v>
          </cell>
          <cell r="D228" t="str">
            <v>TORRES DE SONIDO</v>
          </cell>
        </row>
        <row r="229">
          <cell r="A229" t="str">
            <v>AW-T512</v>
          </cell>
          <cell r="B229" t="str">
            <v>PARLANTE TORRE BLUETOOTH AIWA AW-T512</v>
          </cell>
          <cell r="C229" t="str">
            <v>AUDIO</v>
          </cell>
          <cell r="D229" t="str">
            <v>TORRES DE SONIDO</v>
          </cell>
        </row>
        <row r="230">
          <cell r="A230" t="str">
            <v>AW-T406</v>
          </cell>
          <cell r="B230" t="str">
            <v>PARLANTE TORRE AIWA AW-T406 TRUE WIRELESS BT 12.000W PMPO</v>
          </cell>
          <cell r="C230" t="str">
            <v>AUDIO</v>
          </cell>
          <cell r="D230" t="str">
            <v>TORRES DE SONIDO</v>
          </cell>
        </row>
        <row r="231">
          <cell r="A231" t="str">
            <v>AW-T280L</v>
          </cell>
          <cell r="B231" t="str">
            <v>PARLANTE TORRE BLUETOOTH AIWA AW-T280L</v>
          </cell>
          <cell r="C231" t="str">
            <v>AUDIO</v>
          </cell>
          <cell r="D231" t="str">
            <v>TORRES DE SONIDO</v>
          </cell>
        </row>
        <row r="232">
          <cell r="A232" t="str">
            <v>AW-T606</v>
          </cell>
          <cell r="B232" t="str">
            <v>PARLANTE TORRE AIWA AW-T606 BLUETOOTH</v>
          </cell>
          <cell r="C232" t="str">
            <v>AUDIO</v>
          </cell>
          <cell r="D232" t="str">
            <v>TORRES DE SONIDO</v>
          </cell>
        </row>
        <row r="233">
          <cell r="A233" t="str">
            <v>AW-T410</v>
          </cell>
          <cell r="B233" t="str">
            <v>PARLANTE TORRE BLUETOOTH AIWA AW-T410 17000W PMPO LUCES LED</v>
          </cell>
          <cell r="C233" t="str">
            <v>AUDIO</v>
          </cell>
          <cell r="D233" t="str">
            <v>TORRES DE SONIDO</v>
          </cell>
        </row>
        <row r="234">
          <cell r="A234" t="str">
            <v>AW-T408</v>
          </cell>
          <cell r="B234" t="str">
            <v>PARLANTE BLUETOOTH PORTÁTIL AIWA AW-T408 14000W PMPO + EFECTOS DE LUCES</v>
          </cell>
          <cell r="C234" t="str">
            <v>AUDIO</v>
          </cell>
          <cell r="D234" t="str">
            <v>TORRES DE SONIDO</v>
          </cell>
        </row>
        <row r="235">
          <cell r="A235" t="str">
            <v>AW-T365</v>
          </cell>
          <cell r="B235" t="str">
            <v>PARLANTE BLUETOOTH AIWA BOLA DE LUZ Y EFECTOS 13000 PMPO TWS NEGRO</v>
          </cell>
          <cell r="C235" t="str">
            <v>AUDIO</v>
          </cell>
          <cell r="D235" t="str">
            <v>TORRES DE SONIDO</v>
          </cell>
        </row>
        <row r="236">
          <cell r="A236" t="str">
            <v>VTA-20</v>
          </cell>
          <cell r="B236" t="str">
            <v>VENTILADOR TURBO INDUSTRIAL TIVOLI</v>
          </cell>
          <cell r="C236" t="str">
            <v>CLIMATIZACION</v>
          </cell>
          <cell r="D236" t="str">
            <v>VENTILADORES</v>
          </cell>
        </row>
        <row r="237">
          <cell r="A237" t="str">
            <v>VPO-205</v>
          </cell>
          <cell r="B237" t="str">
            <v>VENTILADOR DE PIE TIVOLI VPO-205</v>
          </cell>
          <cell r="C237" t="str">
            <v>CLIMATIZACION</v>
          </cell>
          <cell r="D237" t="str">
            <v>VENTILADORES</v>
          </cell>
        </row>
        <row r="238">
          <cell r="A238" t="str">
            <v>VPA-318</v>
          </cell>
          <cell r="B238" t="str">
            <v>VENTILADOR TIVOLI 3 EN 1 (PIE, PISO Y PARED)</v>
          </cell>
          <cell r="C238" t="str">
            <v>CLIMATIZACION</v>
          </cell>
          <cell r="D238" t="str">
            <v>VENTILADORES</v>
          </cell>
        </row>
        <row r="239">
          <cell r="A239" t="str">
            <v>AWK-AN202</v>
          </cell>
          <cell r="B239" t="str">
            <v>ANAFE ELÉCTRICO DOBLE AIWA COOK 2000W</v>
          </cell>
          <cell r="C239" t="str">
            <v>PEQUEÑOS ELECTRO</v>
          </cell>
          <cell r="D239" t="str">
            <v>ANAFES</v>
          </cell>
        </row>
        <row r="240">
          <cell r="A240" t="str">
            <v>AWK-AN101</v>
          </cell>
          <cell r="B240" t="str">
            <v>ANAFE ELÉCTRICO AIWA COOK 1000W</v>
          </cell>
          <cell r="C240" t="str">
            <v>PEQUEÑOS ELECTRO</v>
          </cell>
          <cell r="D240" t="str">
            <v>ANAFES</v>
          </cell>
        </row>
        <row r="241">
          <cell r="A241" t="str">
            <v>MSC-3100G8</v>
          </cell>
          <cell r="B241" t="str">
            <v>MOUSE CONSTRICTOR MSC-3100G8</v>
          </cell>
          <cell r="C241" t="str">
            <v>GAMING</v>
          </cell>
          <cell r="D241" t="str">
            <v>MOUSE</v>
          </cell>
        </row>
        <row r="242">
          <cell r="A242" t="str">
            <v>MSC-2048G7</v>
          </cell>
          <cell r="B242" t="str">
            <v>MOUSE CONSTRICTOR MSC-2048G7</v>
          </cell>
          <cell r="C242" t="str">
            <v>GAMING</v>
          </cell>
          <cell r="D242" t="str">
            <v>MOUSE</v>
          </cell>
        </row>
        <row r="243">
          <cell r="A243" t="str">
            <v>MSC-1032G7</v>
          </cell>
          <cell r="B243" t="str">
            <v>MOUSE CONSTRICTOR MSC-1032G7</v>
          </cell>
          <cell r="C243" t="str">
            <v>GAMING</v>
          </cell>
          <cell r="D243" t="str">
            <v>MOUSE</v>
          </cell>
        </row>
        <row r="244">
          <cell r="A244" t="str">
            <v>AW-CBK14</v>
          </cell>
          <cell r="B244" t="str">
            <v>NOTEBOOK CLOUDBOOK AIWA 14,1´´ 128GB 4GB RAM WINDOWS 11 + FUNDA</v>
          </cell>
          <cell r="C244" t="str">
            <v>COMPUTACION</v>
          </cell>
          <cell r="D244" t="str">
            <v>NOTEBOOK</v>
          </cell>
        </row>
        <row r="245">
          <cell r="A245" t="str">
            <v>MPC-1001</v>
          </cell>
          <cell r="B245" t="str">
            <v>MOUSE PAD GAMER AIWA CONSTRICTOR ANTIDESLIZANTE COLOR NEGRO</v>
          </cell>
          <cell r="C245" t="str">
            <v>GAMING</v>
          </cell>
          <cell r="D245" t="str">
            <v>MOUSE</v>
          </cell>
        </row>
        <row r="246">
          <cell r="A246" t="str">
            <v>CCG-2001L</v>
          </cell>
          <cell r="B246" t="str">
            <v>GAMING COMBO CONSTRICTOR 4 EN1 CMC-1001L</v>
          </cell>
          <cell r="C246" t="str">
            <v>GAMING</v>
          </cell>
          <cell r="D246" t="str">
            <v>PERIFERICOS PC</v>
          </cell>
        </row>
        <row r="247">
          <cell r="A247" t="str">
            <v>AW-TAB10-14</v>
          </cell>
          <cell r="B247" t="str">
            <v>TABLET AIWA TA-10-464 PANTALLA 10.1 64GB ALMACENAMIENTO 4GB RAM ANDROID 14</v>
          </cell>
          <cell r="C247" t="str">
            <v>COMPUTACION</v>
          </cell>
          <cell r="D247" t="str">
            <v>TABLET</v>
          </cell>
        </row>
        <row r="248">
          <cell r="A248" t="str">
            <v>AW-TAB18-15</v>
          </cell>
          <cell r="B248" t="str">
            <v>TABLET AIWA ANDROID 10 64GB BLUETOOTH OCTACORE + CABLE Y ADAPTADOR</v>
          </cell>
          <cell r="C248" t="str">
            <v>COMPUTACION</v>
          </cell>
          <cell r="D248" t="str">
            <v>TABLET</v>
          </cell>
        </row>
        <row r="249">
          <cell r="A249" t="str">
            <v>TEC-1001ML</v>
          </cell>
          <cell r="B249" t="str">
            <v>TECLADO GAMING CONSTRICTOR TEC-1001ML</v>
          </cell>
          <cell r="C249" t="str">
            <v>GAMING</v>
          </cell>
          <cell r="D249" t="str">
            <v>TECLADO</v>
          </cell>
        </row>
        <row r="250">
          <cell r="A250" t="str">
            <v>TEC-3001KG</v>
          </cell>
          <cell r="B250" t="str">
            <v>TECLADO GAMING CONSTRICTOR TEC-3001KG</v>
          </cell>
          <cell r="C250" t="str">
            <v>GAMING</v>
          </cell>
          <cell r="D250" t="str">
            <v>TECLADO</v>
          </cell>
        </row>
        <row r="251">
          <cell r="A251" t="str">
            <v>TEC-2001ML</v>
          </cell>
          <cell r="B251" t="str">
            <v>TECLADO GAMING CONSTRICTOR TEC-2001ML</v>
          </cell>
          <cell r="C251" t="str">
            <v>GAMING</v>
          </cell>
          <cell r="D251" t="str">
            <v>TECLADO</v>
          </cell>
        </row>
        <row r="252">
          <cell r="A252" t="str">
            <v>AWC-CPB04R</v>
          </cell>
          <cell r="B252" t="str">
            <v>CORTADORAS DE PELO INALÁMBRICA AIWA CARE AWC-CPB04R</v>
          </cell>
          <cell r="C252" t="str">
            <v>CUIDADO PERSONAL</v>
          </cell>
          <cell r="D252" t="str">
            <v>CARE</v>
          </cell>
        </row>
        <row r="253">
          <cell r="A253" t="str">
            <v>AWC-CPB02N</v>
          </cell>
          <cell r="B253" t="str">
            <v>CORTADORAS DE PELO Y BARBA INALÁMBRICA AIWA CARE AWC-CPB02N</v>
          </cell>
          <cell r="C253" t="str">
            <v>CUIDADO PERSONAL</v>
          </cell>
          <cell r="D253" t="str">
            <v>CARE</v>
          </cell>
        </row>
        <row r="254">
          <cell r="A254" t="str">
            <v>AWC-AF01N</v>
          </cell>
          <cell r="B254" t="str">
            <v>AFEITADORA ELÉCTRICA INALÁMBRICA 3 CABEZALES AIWA CARE AWC-AF01N IPX6</v>
          </cell>
          <cell r="C254" t="str">
            <v>CUIDADO PERSONAL</v>
          </cell>
          <cell r="D254" t="str">
            <v>CARE</v>
          </cell>
        </row>
        <row r="255">
          <cell r="A255" t="str">
            <v>AWC-CPB03R</v>
          </cell>
          <cell r="B255" t="str">
            <v>CORTADORAS DE PELO INALÁMBRICA AIWA CARE AWC-CPB03R</v>
          </cell>
          <cell r="C255" t="str">
            <v>CUIDADO PERSONAL</v>
          </cell>
          <cell r="D255" t="str">
            <v>CARE</v>
          </cell>
        </row>
        <row r="256">
          <cell r="A256" t="str">
            <v>AWC-CPB06N</v>
          </cell>
          <cell r="B256" t="str">
            <v>CORTADORAS DE PELO Y BARBA INALÁMBRICA AIWA CARE AWC-CPB06N</v>
          </cell>
          <cell r="C256" t="str">
            <v>CUIDADO PERSONAL</v>
          </cell>
          <cell r="D256" t="str">
            <v>CARE</v>
          </cell>
        </row>
        <row r="257">
          <cell r="A257" t="str">
            <v>AWB-SCP01N</v>
          </cell>
          <cell r="B257" t="str">
            <v>CEPILLO SECADOR Y MODELADOR DE PELO AIWA BEAUTY AWB-SCP01N</v>
          </cell>
          <cell r="C257" t="str">
            <v>CUIDADO PERSONAL</v>
          </cell>
          <cell r="D257" t="str">
            <v>BEAUTY</v>
          </cell>
        </row>
        <row r="258">
          <cell r="A258" t="str">
            <v>AWC-CPB05N</v>
          </cell>
          <cell r="B258" t="str">
            <v>CORTADORAS DE PELO Y BARBA INALÁMBRICA AIWA CARE AWC-CPB05N</v>
          </cell>
          <cell r="C258" t="str">
            <v>CUIDADO PERSONAL</v>
          </cell>
          <cell r="D258" t="str">
            <v>CARE</v>
          </cell>
        </row>
        <row r="259">
          <cell r="A259" t="str">
            <v>AWC-CPB01R</v>
          </cell>
          <cell r="B259" t="str">
            <v>CORTADORAS DE PELO Y BARBA INALÁMBRICA AIWA CARE AWC-CPB01R</v>
          </cell>
          <cell r="C259" t="str">
            <v>CUIDADO PERSONAL</v>
          </cell>
          <cell r="D259" t="str">
            <v>CARE</v>
          </cell>
        </row>
        <row r="260">
          <cell r="A260" t="str">
            <v>AWB-PL02N</v>
          </cell>
          <cell r="B260" t="str">
            <v>PLANCHITA DE PELO AIWA BEAUTY AWB-PL02N 5 NIVELES</v>
          </cell>
          <cell r="C260" t="str">
            <v>CUIDADO PERSONAL</v>
          </cell>
          <cell r="D260" t="str">
            <v>BEAUTY</v>
          </cell>
        </row>
        <row r="261">
          <cell r="A261" t="str">
            <v>AWB-PL01R</v>
          </cell>
          <cell r="B261" t="str">
            <v>PLANCHITA DE PELO AIWA BEAUTY AWB-PL01R</v>
          </cell>
          <cell r="C261" t="str">
            <v>CUIDADO PERSONAL</v>
          </cell>
          <cell r="D261" t="str">
            <v>BEAUTY</v>
          </cell>
        </row>
        <row r="262">
          <cell r="A262" t="str">
            <v>AWB-SP01N</v>
          </cell>
          <cell r="B262" t="str">
            <v>SECADOR DE PELO AIWA BEAUTY AWB-SP01N</v>
          </cell>
          <cell r="C262" t="str">
            <v>CUIDADO PERSONAL</v>
          </cell>
          <cell r="D262" t="str">
            <v>BEAUTY</v>
          </cell>
        </row>
        <row r="263">
          <cell r="A263" t="str">
            <v>AWB-SPP02G</v>
          </cell>
          <cell r="B263" t="str">
            <v>SECADOR DE PELO PLEGABLE AIWA BEAUTY AWB-SPP02G</v>
          </cell>
          <cell r="C263" t="str">
            <v>CUIDADO PERSONAL</v>
          </cell>
          <cell r="D263" t="str">
            <v>BEAUTY</v>
          </cell>
        </row>
        <row r="264">
          <cell r="A264" t="str">
            <v>SIC-1001</v>
          </cell>
          <cell r="B264" t="str">
            <v>SILLA GAMER PLACATA CONSTRICTOR SIC-1001</v>
          </cell>
          <cell r="C264" t="str">
            <v>GAMING</v>
          </cell>
          <cell r="D264" t="str">
            <v>SILLAS GAMER</v>
          </cell>
        </row>
        <row r="265">
          <cell r="A265" t="str">
            <v>SIC-1001R</v>
          </cell>
          <cell r="B265" t="str">
            <v>SILLA GAMER PLACATA CONSTRICTOR SIC-1001R RECLINABLE 135 ° COLOR ROJO</v>
          </cell>
          <cell r="C265" t="str">
            <v>GAMING</v>
          </cell>
          <cell r="D265" t="str">
            <v>SILLAS GAMER</v>
          </cell>
        </row>
        <row r="266">
          <cell r="A266" t="str">
            <v>SIC-1001Y</v>
          </cell>
          <cell r="B266" t="str">
            <v>SILLA GAMER PLACATA CONSTRICTOR SIC-1001Y RECLINABLE 135 ° COLOR AMARILLO</v>
          </cell>
          <cell r="C266" t="str">
            <v>GAMING</v>
          </cell>
          <cell r="D266" t="str">
            <v>SILLAS GAMER</v>
          </cell>
        </row>
        <row r="267">
          <cell r="A267" t="str">
            <v>SIC-2001</v>
          </cell>
          <cell r="B267" t="str">
            <v>SILLA GAMER MONENSIS CONSTRICTOR SIC-2001</v>
          </cell>
          <cell r="C267" t="str">
            <v>GAMING</v>
          </cell>
          <cell r="D267" t="str">
            <v>SILLAS GAMER</v>
          </cell>
        </row>
        <row r="268">
          <cell r="A268" t="str">
            <v>SIC-3001</v>
          </cell>
          <cell r="B268" t="str">
            <v>SILLA GAMER SUPERCILIOSA CONSTRICTOR SIC-3001</v>
          </cell>
          <cell r="C268" t="str">
            <v>GAMING</v>
          </cell>
          <cell r="D268" t="str">
            <v>SILLAS GAMER</v>
          </cell>
        </row>
        <row r="269">
          <cell r="A269" t="str">
            <v>SIC-101V</v>
          </cell>
          <cell r="B269" t="str">
            <v>SILLA GAMER CONSTRICTOR LAMPALAGUA VERDE</v>
          </cell>
          <cell r="C269" t="str">
            <v>GAMING</v>
          </cell>
          <cell r="D269" t="str">
            <v>SILLAS GAMER</v>
          </cell>
        </row>
        <row r="270">
          <cell r="A270" t="str">
            <v>SIC-101A</v>
          </cell>
          <cell r="B270" t="str">
            <v>SILLA GAMER CONSTRICTOR LAMPALAGUA AMARILLA</v>
          </cell>
          <cell r="C270" t="str">
            <v>GAMING</v>
          </cell>
          <cell r="D270" t="str">
            <v>SILLAS GAMER</v>
          </cell>
        </row>
        <row r="271">
          <cell r="A271" t="str">
            <v>SIC-101R</v>
          </cell>
          <cell r="B271" t="str">
            <v>SILLA GAMER CONSTRICTOR LAMPALAGUA ROJO</v>
          </cell>
          <cell r="C271" t="str">
            <v>GAMING</v>
          </cell>
          <cell r="D271" t="str">
            <v>SILLAS GAMER</v>
          </cell>
        </row>
        <row r="272">
          <cell r="A272" t="str">
            <v>AWT-AA050</v>
          </cell>
          <cell r="B272" t="str">
            <v>AMOLADORA ANGULAR</v>
          </cell>
          <cell r="C272" t="str">
            <v>HERRAMIENTAS</v>
          </cell>
          <cell r="D272" t="str">
            <v>CORTE</v>
          </cell>
        </row>
        <row r="273">
          <cell r="A273" t="str">
            <v>AWT-DE004</v>
          </cell>
          <cell r="B273" t="str">
            <v>DESTORNILLADOR INALÁMBRICO</v>
          </cell>
          <cell r="C273" t="str">
            <v>HERRAMIENTAS</v>
          </cell>
          <cell r="D273" t="str">
            <v>PERFORACION</v>
          </cell>
        </row>
        <row r="274">
          <cell r="A274" t="str">
            <v>AWT-LRO35</v>
          </cell>
          <cell r="B274" t="str">
            <v>LIJADORA ROTO ORBITAL</v>
          </cell>
          <cell r="C274" t="str">
            <v>HERRAMIENTAS</v>
          </cell>
          <cell r="D274" t="str">
            <v>LIJADORAS</v>
          </cell>
        </row>
        <row r="275">
          <cell r="A275" t="str">
            <v>AWT-PC200</v>
          </cell>
          <cell r="B275" t="str">
            <v>PISTOLA DE CALOR</v>
          </cell>
          <cell r="C275" t="str">
            <v>HERRAMIENTAS</v>
          </cell>
          <cell r="D275" t="str">
            <v>PISTOLA CALOR</v>
          </cell>
        </row>
        <row r="276">
          <cell r="A276" t="str">
            <v>AWT-SC130</v>
          </cell>
          <cell r="B276" t="str">
            <v>SIERRA CIRCULAR</v>
          </cell>
          <cell r="C276" t="str">
            <v>HERRAMIENTAS</v>
          </cell>
          <cell r="D276" t="str">
            <v>CORTE</v>
          </cell>
        </row>
        <row r="277">
          <cell r="A277" t="str">
            <v>AWT-TAI012</v>
          </cell>
          <cell r="B277" t="str">
            <v>TALADRO</v>
          </cell>
          <cell r="C277" t="str">
            <v>HERRAMIENTAS</v>
          </cell>
          <cell r="D277" t="str">
            <v>PERFORACION</v>
          </cell>
        </row>
        <row r="278">
          <cell r="A278" t="str">
            <v>AWT-TAI020</v>
          </cell>
          <cell r="B278" t="str">
            <v>TALADRO</v>
          </cell>
          <cell r="C278" t="str">
            <v>HERRAMIENTAS</v>
          </cell>
          <cell r="D278" t="str">
            <v>PERFORACION</v>
          </cell>
        </row>
        <row r="279">
          <cell r="A279" t="str">
            <v>AWT-TP050</v>
          </cell>
          <cell r="B279" t="str">
            <v>TALADRO</v>
          </cell>
          <cell r="C279" t="str">
            <v>HERRAMIENTAS</v>
          </cell>
          <cell r="D279" t="str">
            <v>PERFORACION</v>
          </cell>
        </row>
        <row r="280">
          <cell r="A280" t="str">
            <v>AWT-BE025</v>
          </cell>
          <cell r="B280" t="str">
            <v>BORDEADORA ELÉCTRICA</v>
          </cell>
          <cell r="C280" t="str">
            <v>HERRAMIENTAS</v>
          </cell>
          <cell r="D280" t="str">
            <v>BORDEADORAS</v>
          </cell>
        </row>
        <row r="281">
          <cell r="A281" t="str">
            <v>AWT-HL160</v>
          </cell>
          <cell r="B281" t="str">
            <v>HIDROLAVADORA ELÉCTRICA AIWA 1600W</v>
          </cell>
          <cell r="C281" t="str">
            <v>HERRAMIENTAS</v>
          </cell>
          <cell r="D281" t="str">
            <v>HIDROLAVADORAS</v>
          </cell>
        </row>
        <row r="282">
          <cell r="A282" t="str">
            <v>AW-CAM500EX-X2</v>
          </cell>
          <cell r="B282" t="str">
            <v>CÁMARA DE SEGURIDAD EXTERIOR AIWA 4MP WI-FI IP66 PACK X 2</v>
          </cell>
          <cell r="C282" t="str">
            <v>CCTV</v>
          </cell>
          <cell r="D282" t="str">
            <v>CAMARA SEGURIDAD</v>
          </cell>
        </row>
        <row r="283">
          <cell r="A283" t="str">
            <v>AW-CAM400EX-X2</v>
          </cell>
          <cell r="B283" t="str">
            <v>CÁMARA DE SEGURIDAD EXTERIOR AIWA AW-CAM400EX PACK X 2</v>
          </cell>
          <cell r="C283" t="str">
            <v>CCTV</v>
          </cell>
          <cell r="D283" t="str">
            <v>CAMARA SEGURIDAD</v>
          </cell>
        </row>
        <row r="284">
          <cell r="A284" t="str">
            <v>AW-CAM200IN</v>
          </cell>
          <cell r="B284" t="str">
            <v>CÁMARA DE SEGURIDAD INTERIOR AIWA 2MP FHD DOBLE LENTE ROTATIVA WI-FI</v>
          </cell>
          <cell r="C284" t="str">
            <v>CCTV</v>
          </cell>
          <cell r="D284" t="str">
            <v>CAMARA SEGURIDAD</v>
          </cell>
        </row>
        <row r="285">
          <cell r="A285" t="str">
            <v>AW-CAM300IN-X4</v>
          </cell>
          <cell r="B285" t="str">
            <v>CÁMARA DE SEGURIDAD INTERIOR AIWA 3MP FHD ROTATIVA WI-FI PACK X 4</v>
          </cell>
          <cell r="C285" t="str">
            <v>CCTV</v>
          </cell>
          <cell r="D285" t="str">
            <v>CAMARA SEGURIDAD</v>
          </cell>
        </row>
        <row r="286">
          <cell r="A286" t="str">
            <v>AW-CAM500EX-X4</v>
          </cell>
          <cell r="B286" t="str">
            <v>CÁMARA DE SEGURIDAD EXTERIOR AIWA 4MP WI-FI IP66 PACK X 4</v>
          </cell>
          <cell r="C286" t="str">
            <v>CCTV</v>
          </cell>
          <cell r="D286" t="str">
            <v>CAMARA SEGURIDAD</v>
          </cell>
        </row>
        <row r="287">
          <cell r="A287" t="str">
            <v>AW-CAM500EX</v>
          </cell>
          <cell r="B287" t="str">
            <v>CÁMARA DE SEGURIDAD EXTERIOR AIWA 4MP WI-FI IP66</v>
          </cell>
          <cell r="C287" t="str">
            <v>CCTV</v>
          </cell>
          <cell r="D287" t="str">
            <v>CAMARA SEGURIDAD</v>
          </cell>
        </row>
        <row r="288">
          <cell r="A288" t="str">
            <v>AW-CAM200IN-X2</v>
          </cell>
          <cell r="B288" t="str">
            <v>CÁMARA DE SEGURIDAD INTERIOR AIWA AW-CAM200IN PACK X 2</v>
          </cell>
          <cell r="C288" t="str">
            <v>CCTV</v>
          </cell>
          <cell r="D288" t="str">
            <v>CAMARA SEGURIDAD</v>
          </cell>
        </row>
        <row r="289">
          <cell r="A289" t="str">
            <v>AW-CAM300IN</v>
          </cell>
          <cell r="B289" t="str">
            <v>CÁMARA DE SEGURIDAD INTERIOR AIWA 3MP FHD ROTATIVA WI-FI</v>
          </cell>
          <cell r="C289" t="str">
            <v>CCTV</v>
          </cell>
          <cell r="D289" t="str">
            <v>CAMARA SEGURIDAD</v>
          </cell>
        </row>
        <row r="290">
          <cell r="A290" t="str">
            <v>AW-CAM100IN-X4</v>
          </cell>
          <cell r="B290" t="str">
            <v>CÁMARA DE SEGURIDAD INTERIOR AIWA 2MP FHD ROTATIVA WI-FI PACK X 4</v>
          </cell>
          <cell r="C290" t="str">
            <v>CCTV</v>
          </cell>
          <cell r="D290" t="str">
            <v>CAMARA SEGURIDAD</v>
          </cell>
        </row>
        <row r="291">
          <cell r="A291" t="str">
            <v>AW-CAM100IN-X2</v>
          </cell>
          <cell r="B291" t="str">
            <v>CÁMARA DE SEGURIDAD INTERIOR AIWA 2MP FHD ROTATIVA WI-FI PACK X 2</v>
          </cell>
          <cell r="C291" t="str">
            <v>CCTV</v>
          </cell>
          <cell r="D291" t="str">
            <v>CAMARA SEGURIDAD</v>
          </cell>
        </row>
        <row r="292">
          <cell r="A292" t="str">
            <v>AW-CAM300IN-X2</v>
          </cell>
          <cell r="B292" t="str">
            <v>CÁMARA DE SEGURIDAD INTERIOR AIWA 3MP FHD ROTATIVA WI-FI PACK X 2</v>
          </cell>
          <cell r="C292" t="str">
            <v>CCTV</v>
          </cell>
          <cell r="D292" t="str">
            <v>CAMARA SEGURIDAD</v>
          </cell>
        </row>
        <row r="293">
          <cell r="A293" t="str">
            <v>AW-CAM100IN</v>
          </cell>
          <cell r="B293" t="str">
            <v>CÁMARA DE SEGURIDAD INTERIOR AIWA 2MP FHD ROTATIVA WI-FI</v>
          </cell>
          <cell r="C293" t="str">
            <v>CCTV</v>
          </cell>
          <cell r="D293" t="str">
            <v>CAMARA SEGURIDAD</v>
          </cell>
        </row>
        <row r="294">
          <cell r="A294" t="str">
            <v>AW-CAM200IN-X4</v>
          </cell>
          <cell r="B294" t="str">
            <v>CÁMARA DE SEGURIDAD INTERIOR AIWA AW-CAM200IN PACK X 4</v>
          </cell>
          <cell r="C294" t="str">
            <v>CCTV</v>
          </cell>
          <cell r="D294" t="str">
            <v>CAMARA SEGURIDAD</v>
          </cell>
        </row>
        <row r="295">
          <cell r="A295" t="str">
            <v>AW-CAM400EX</v>
          </cell>
          <cell r="B295" t="str">
            <v>CÁMARA DE SEGURIDAD EXTERIOR AIWA 2MP ROTATIVA WI-FI IP65</v>
          </cell>
          <cell r="C295" t="str">
            <v>CCTV</v>
          </cell>
          <cell r="D295" t="str">
            <v>CAMARA SEGURIDAD</v>
          </cell>
        </row>
        <row r="296">
          <cell r="A296" t="str">
            <v>AW-CAM400EX-X4</v>
          </cell>
          <cell r="B296" t="str">
            <v>CÁMARA DE SEGURIDAD EXTERIOR AIWA AW-CAM400EX PACK X 4</v>
          </cell>
          <cell r="C296" t="str">
            <v>CCTV</v>
          </cell>
          <cell r="D296" t="str">
            <v>CAMARA SEGURIDAD</v>
          </cell>
        </row>
        <row r="297">
          <cell r="A297" t="str">
            <v>AW-CAM600BC</v>
          </cell>
          <cell r="B297" t="str">
            <v>BABY CALL</v>
          </cell>
          <cell r="C297" t="str">
            <v>CCTV</v>
          </cell>
          <cell r="D297" t="str">
            <v>BABY CALL</v>
          </cell>
        </row>
        <row r="298">
          <cell r="A298" t="str">
            <v>AW-CAM700BC</v>
          </cell>
          <cell r="B298" t="str">
            <v>BABY CALL</v>
          </cell>
          <cell r="C298" t="str">
            <v>CCTV</v>
          </cell>
          <cell r="D298" t="str">
            <v>BABY CALL</v>
          </cell>
        </row>
        <row r="299">
          <cell r="A299" t="str">
            <v>AWH-AS160R</v>
          </cell>
          <cell r="B299" t="str">
            <v>ASPIRADORA CON BOLSA 1600W 2L</v>
          </cell>
          <cell r="C299" t="str">
            <v>HOGAR</v>
          </cell>
          <cell r="D299" t="str">
            <v>ASPIRADORAS</v>
          </cell>
        </row>
        <row r="300">
          <cell r="A300" t="str">
            <v>AWH-AS135R</v>
          </cell>
          <cell r="B300" t="str">
            <v>ASPIRADORA INALÁMBRICA DE MANO 2 EN 1 AIWA 135W 1L 2 NIVELES DE VELOCIDAD</v>
          </cell>
          <cell r="C300" t="str">
            <v>HOGAR</v>
          </cell>
          <cell r="D300" t="str">
            <v>ASPIRADORAS</v>
          </cell>
        </row>
        <row r="301">
          <cell r="A301" t="str">
            <v>AWH-AS180R</v>
          </cell>
          <cell r="B301" t="str">
            <v>ASPIRADORA CICLONICA SIN BOLSA 1800W 3,5L</v>
          </cell>
          <cell r="C301" t="str">
            <v>HOGAR</v>
          </cell>
          <cell r="D301" t="str">
            <v>ASPIRADORAS</v>
          </cell>
        </row>
        <row r="302">
          <cell r="A302" t="str">
            <v>AWH-ASR101</v>
          </cell>
          <cell r="B302" t="str">
            <v>ASPIRADORA ROBOT</v>
          </cell>
          <cell r="C302" t="str">
            <v>HOGAR</v>
          </cell>
          <cell r="D302" t="str">
            <v>ASPIRADORAS</v>
          </cell>
        </row>
        <row r="303">
          <cell r="A303" t="str">
            <v>AWH-ASR201</v>
          </cell>
          <cell r="B303" t="str">
            <v>ASPIRADORA ROBOT</v>
          </cell>
          <cell r="C303" t="str">
            <v>HOGAR</v>
          </cell>
          <cell r="D303" t="str">
            <v>ASPIRADORAS</v>
          </cell>
        </row>
        <row r="304">
          <cell r="A304" t="str">
            <v>AWH-AI015</v>
          </cell>
          <cell r="B304" t="str">
            <v>ASPIRADORA SOPLADORA SECO LÍQUIDO AIWA 15 LITROS 1600W COLOR PLATEADO</v>
          </cell>
          <cell r="C304" t="str">
            <v>HOGAR</v>
          </cell>
          <cell r="D304" t="str">
            <v>ASPIRADORAS</v>
          </cell>
        </row>
        <row r="305">
          <cell r="A305" t="str">
            <v>AWH-AI025</v>
          </cell>
          <cell r="B305" t="str">
            <v>ASPIRADORA SOPLADORA SECO LÍQUIDO AIWA 25 LITROS 1600W COLOR PLATEADO</v>
          </cell>
          <cell r="C305" t="str">
            <v>HOGAR</v>
          </cell>
          <cell r="D305" t="str">
            <v>ASPIRADORAS</v>
          </cell>
        </row>
        <row r="306">
          <cell r="A306" t="str">
            <v>AW-BP508N</v>
          </cell>
          <cell r="B306" t="str">
            <v>BATIDORA DE PIE PLANETARIA DIGITAL 3 EN 1 AIWA BOWL ACERO INOXIDABLE 5,2 NEGRO</v>
          </cell>
          <cell r="C306" t="str">
            <v>PEQUEÑOS ELECTRO</v>
          </cell>
          <cell r="D306" t="str">
            <v>BATIDORAS</v>
          </cell>
        </row>
        <row r="307">
          <cell r="A307" t="str">
            <v>AW-BPP708R</v>
          </cell>
          <cell r="B307" t="str">
            <v>BATIDORA CON PICADORA DE CARNE ROJA</v>
          </cell>
          <cell r="C307" t="str">
            <v>PEQUEÑOS ELECTRO</v>
          </cell>
          <cell r="D307" t="str">
            <v>BATIDORAS</v>
          </cell>
        </row>
        <row r="308">
          <cell r="A308" t="str">
            <v>AW-BP508B</v>
          </cell>
          <cell r="B308" t="str">
            <v>BATIDORA DE PIE PLANETARIA DIGITAL 3 EN 1 AIWA BOWL ACERO INOXIDABLE 5,2 BLANCA</v>
          </cell>
          <cell r="C308" t="str">
            <v>PEQUEÑOS ELECTRO</v>
          </cell>
          <cell r="D308" t="str">
            <v>BATIDORAS</v>
          </cell>
        </row>
        <row r="309">
          <cell r="A309" t="str">
            <v>AW-BP508C</v>
          </cell>
          <cell r="B309" t="str">
            <v>BATIDORA DE PIE PLANETARIA DIGITAL 3 EN 1 AIWA BOWL ACERO INOXIDABLE 5,2 CREMA</v>
          </cell>
          <cell r="C309" t="str">
            <v>PEQUEÑOS ELECTRO</v>
          </cell>
          <cell r="D309" t="str">
            <v>BATIDORAS</v>
          </cell>
        </row>
        <row r="310">
          <cell r="A310" t="str">
            <v>AW-BP508R</v>
          </cell>
          <cell r="B310" t="str">
            <v>BATIDORA DE PIE PLANETARIA DIGITAL 3 EN 1 AIWA BOWL ACERO INOXIDABLE 5,2 ROJO</v>
          </cell>
          <cell r="C310" t="str">
            <v>PEQUEÑOS ELECTRO</v>
          </cell>
          <cell r="D310" t="str">
            <v>BATIDORAS</v>
          </cell>
        </row>
        <row r="311">
          <cell r="A311" t="str">
            <v>AW-BPP708N</v>
          </cell>
          <cell r="B311" t="str">
            <v>BATIDORA CON PICADORA DE CARNE NEGRA</v>
          </cell>
          <cell r="C311" t="str">
            <v>PEQUEÑOS ELECTRO</v>
          </cell>
          <cell r="D311" t="str">
            <v>BATIDORAS</v>
          </cell>
        </row>
        <row r="312">
          <cell r="A312" t="str">
            <v>AW-BP708R</v>
          </cell>
          <cell r="B312" t="str">
            <v>BATIDORA DE PIE DIGITAL 7 LITROS ROJA</v>
          </cell>
          <cell r="C312" t="str">
            <v>PEQUEÑOS ELECTRO</v>
          </cell>
          <cell r="D312" t="str">
            <v>BATIDORAS</v>
          </cell>
        </row>
        <row r="313">
          <cell r="A313" t="str">
            <v>AW-BP1208N</v>
          </cell>
          <cell r="B313" t="str">
            <v>BATIDORA DE PIE 12L NEGRO</v>
          </cell>
          <cell r="C313" t="str">
            <v>PEQUEÑOS ELECTRO</v>
          </cell>
          <cell r="D313" t="str">
            <v>BATIDORAS</v>
          </cell>
        </row>
        <row r="314">
          <cell r="A314" t="str">
            <v>AW-BP1208R</v>
          </cell>
          <cell r="B314" t="str">
            <v>BATIDORA DE PIE 12L ROJO</v>
          </cell>
          <cell r="C314" t="str">
            <v>PEQUEÑOS ELECTRO</v>
          </cell>
          <cell r="D314" t="str">
            <v>BATIDORAS</v>
          </cell>
        </row>
        <row r="315">
          <cell r="A315" t="str">
            <v>AWK-CF075N</v>
          </cell>
          <cell r="B315" t="str">
            <v>CAFETERA DE FILTRO 0,75L</v>
          </cell>
          <cell r="C315" t="str">
            <v>PEQUEÑOS ELECTRO</v>
          </cell>
          <cell r="D315" t="str">
            <v>CAFETERAS</v>
          </cell>
        </row>
        <row r="316">
          <cell r="A316" t="str">
            <v>AWK-CE200N</v>
          </cell>
          <cell r="B316" t="str">
            <v>CAFETERA ESPRESSO VINTAGE AIWA COOK 1,25 LITROS NEGRO</v>
          </cell>
          <cell r="C316" t="str">
            <v>PEQUEÑOS ELECTRO</v>
          </cell>
          <cell r="D316" t="str">
            <v>CAFETERAS</v>
          </cell>
        </row>
        <row r="317">
          <cell r="A317" t="str">
            <v>AWK-CE200R</v>
          </cell>
          <cell r="B317" t="str">
            <v>CAFETERA ESPRESSO VINTAGE AIWA COOK 1,25 LITROS ROJO</v>
          </cell>
          <cell r="C317" t="str">
            <v>PEQUEÑOS ELECTRO</v>
          </cell>
          <cell r="D317" t="str">
            <v>CAFETERAS</v>
          </cell>
        </row>
        <row r="318">
          <cell r="A318" t="str">
            <v>AWK-CF125N</v>
          </cell>
          <cell r="B318" t="str">
            <v>CAFETERA DE FILTRO 1,25L</v>
          </cell>
          <cell r="C318" t="str">
            <v>PEQUEÑOS ELECTRO</v>
          </cell>
          <cell r="D318" t="str">
            <v>CAFETERAS</v>
          </cell>
        </row>
        <row r="319">
          <cell r="A319" t="str">
            <v>AWK-CE102N</v>
          </cell>
          <cell r="B319" t="str">
            <v>CAFETERA ESPRESSO AIWA COOK 1,2 LITROS</v>
          </cell>
          <cell r="C319" t="str">
            <v>PEQUEÑOS ELECTRO</v>
          </cell>
          <cell r="D319" t="str">
            <v>CAFETERAS</v>
          </cell>
        </row>
        <row r="320">
          <cell r="A320" t="str">
            <v>AWK-CFD15I</v>
          </cell>
          <cell r="B320" t="str">
            <v>CAFETERA DE FILTRO DIGITAL 1,5L</v>
          </cell>
          <cell r="C320" t="str">
            <v>PEQUEÑOS ELECTRO</v>
          </cell>
          <cell r="D320" t="str">
            <v>CAFETERAS</v>
          </cell>
        </row>
        <row r="321">
          <cell r="A321" t="str">
            <v>AWK-MCF190N</v>
          </cell>
          <cell r="B321" t="str">
            <v>MÁQUINA CORTADORA DE FIAMBRE</v>
          </cell>
          <cell r="C321" t="str">
            <v>PEQUEÑOS ELECTRO</v>
          </cell>
          <cell r="D321" t="str">
            <v>CORTADORAS</v>
          </cell>
        </row>
        <row r="322">
          <cell r="A322" t="str">
            <v>AWK-EL300N</v>
          </cell>
          <cell r="B322" t="str">
            <v>ESPUMADOR DE LECHE AIWA COOK 300ML 4 NIVELES 500W</v>
          </cell>
          <cell r="C322" t="str">
            <v>PEQUEÑOS ELECTRO</v>
          </cell>
          <cell r="D322" t="str">
            <v>CAFETERAS</v>
          </cell>
        </row>
        <row r="323">
          <cell r="A323" t="str">
            <v>AWK-EX070N</v>
          </cell>
          <cell r="B323" t="str">
            <v>EXPRIMIDORA ELÉCTRICA AIWA ANTIDESLIZANTE 40W 700ML - TAPA PROTECTORA 2 CONOS EXPRIMIDORES &amp; FILTRO DESMONTABLE</v>
          </cell>
          <cell r="C323" t="str">
            <v>PEQUEÑOS ELECTRO</v>
          </cell>
          <cell r="D323" t="str">
            <v>EXPRIMIDORES</v>
          </cell>
        </row>
        <row r="324">
          <cell r="A324" t="str">
            <v>AWK-EX500I</v>
          </cell>
          <cell r="B324" t="str">
            <v>EXPRIMIRDOR ELECTRICO - END - 500W</v>
          </cell>
          <cell r="C324" t="str">
            <v>PEQUEÑOS ELECTRO</v>
          </cell>
          <cell r="D324" t="str">
            <v>EXPRIMIDORES</v>
          </cell>
        </row>
        <row r="325">
          <cell r="A325" t="str">
            <v>AWK-EX350I</v>
          </cell>
          <cell r="B325" t="str">
            <v>EXPRIMIDOR ELÉCTRICO AIWA COOK 350W</v>
          </cell>
          <cell r="C325" t="str">
            <v>PEQUEÑOS ELECTRO</v>
          </cell>
          <cell r="D325" t="str">
            <v>EXPRIMIDORES</v>
          </cell>
        </row>
        <row r="326">
          <cell r="A326" t="str">
            <v>AWK-EX040I</v>
          </cell>
          <cell r="B326" t="str">
            <v>EXPRIMIDOR ELÉCTRICO AIWA COOK 700ML</v>
          </cell>
          <cell r="C326" t="str">
            <v>PEQUEÑOS ELECTRO</v>
          </cell>
          <cell r="D326" t="str">
            <v>EXPRIMIDORES</v>
          </cell>
        </row>
        <row r="327">
          <cell r="A327" t="str">
            <v>AWK-FD07N</v>
          </cell>
          <cell r="B327" t="str">
            <v>MÁQUINA DONAS AIWA MINI DONUT</v>
          </cell>
          <cell r="C327" t="str">
            <v>PEQUEÑOS ELECTRO</v>
          </cell>
          <cell r="D327" t="str">
            <v>FABRICA DE DONAS</v>
          </cell>
        </row>
        <row r="328">
          <cell r="A328" t="str">
            <v>AWK-FH10B</v>
          </cell>
          <cell r="B328" t="str">
            <v>FÁBRICA DE HIELO AIWA COLOR BLANCO</v>
          </cell>
          <cell r="C328" t="str">
            <v>PEQUEÑOS ELECTRO</v>
          </cell>
          <cell r="D328" t="str">
            <v>FABRICA DE HIELO</v>
          </cell>
        </row>
        <row r="329">
          <cell r="A329" t="str">
            <v>AWK-FH10N</v>
          </cell>
          <cell r="B329" t="str">
            <v>FÁBRICA DE HIELO AIWA COLOR NEGRO</v>
          </cell>
          <cell r="C329" t="str">
            <v>PEQUEÑOS ELECTRO</v>
          </cell>
          <cell r="D329" t="str">
            <v>FABRICA DE HIELO</v>
          </cell>
        </row>
        <row r="330">
          <cell r="A330" t="str">
            <v>AW-FA35B</v>
          </cell>
          <cell r="B330" t="str">
            <v>FREIDORA DE AIRE AIWA 3,6 LITROS AW-FA35B</v>
          </cell>
          <cell r="C330" t="str">
            <v>PEQUEÑOS ELECTRO</v>
          </cell>
          <cell r="D330" t="str">
            <v>FREIDORAS DE AIRE</v>
          </cell>
        </row>
        <row r="331">
          <cell r="A331" t="str">
            <v>AW-FA35N</v>
          </cell>
          <cell r="B331" t="str">
            <v>FREIDORA DE AIRE AIWA 3,6 LITROS AW-FA35B</v>
          </cell>
          <cell r="C331" t="str">
            <v>PEQUEÑOS ELECTRO</v>
          </cell>
          <cell r="D331" t="str">
            <v>FREIDORAS DE AIRE</v>
          </cell>
        </row>
        <row r="332">
          <cell r="A332" t="str">
            <v>AW-FAH1500N</v>
          </cell>
          <cell r="B332" t="str">
            <v>FREIDORA Y HORNO ELÉCTRICO 4 MODOS 11,6L - 1200W</v>
          </cell>
          <cell r="C332" t="str">
            <v>PEQUEÑOS ELECTRO</v>
          </cell>
          <cell r="D332" t="str">
            <v>FREIDORAS DE AIRE</v>
          </cell>
        </row>
        <row r="333">
          <cell r="A333" t="str">
            <v>AW-FA244</v>
          </cell>
          <cell r="B333" t="str">
            <v>FREIDORA DE AIRE DIGITAL AIWA AW-FA244 4L + 4L 2600W</v>
          </cell>
          <cell r="C333" t="str">
            <v>PEQUEÑOS ELECTRO</v>
          </cell>
          <cell r="D333" t="str">
            <v>FREIDORAS DE AIRE</v>
          </cell>
        </row>
        <row r="334">
          <cell r="A334" t="str">
            <v>AW-FA80I</v>
          </cell>
          <cell r="B334" t="str">
            <v>FREIDORA DE AIRE DIGITAL AIWA AW-FA80I 8L 2000W</v>
          </cell>
          <cell r="C334" t="str">
            <v>PEQUEÑOS ELECTRO</v>
          </cell>
          <cell r="D334" t="str">
            <v>FREIDORAS DE AIRE</v>
          </cell>
        </row>
        <row r="335">
          <cell r="A335" t="str">
            <v>AW-FA100I</v>
          </cell>
          <cell r="B335" t="str">
            <v>FREIDORA DE AIRE DIGITAL AIWA 10L 2100W CON 12 PROGRAMAS Y PANEL TOUCH</v>
          </cell>
          <cell r="C335" t="str">
            <v>PEQUEÑOS ELECTRO</v>
          </cell>
          <cell r="D335" t="str">
            <v>FREIDORAS DE AIRE</v>
          </cell>
        </row>
        <row r="336">
          <cell r="A336" t="str">
            <v>AW-FA90N</v>
          </cell>
          <cell r="B336" t="str">
            <v>FREIDORA DE AIRE AIWA 9L 2100W DOBLE RESISTENCIA 12 PROG. NEGRO</v>
          </cell>
          <cell r="C336" t="str">
            <v>PEQUEÑOS ELECTRO</v>
          </cell>
          <cell r="D336" t="str">
            <v>FREIDORAS DE AIRE</v>
          </cell>
        </row>
        <row r="337">
          <cell r="A337" t="str">
            <v>AWK-PVD1700I</v>
          </cell>
          <cell r="B337" t="str">
            <v>PAVAS ELECTRICA DIGITAL AIWA 1,7 LITROS</v>
          </cell>
          <cell r="C337" t="str">
            <v>PEQUEÑOS ELECTRO</v>
          </cell>
          <cell r="D337" t="str">
            <v>JARRAS ELECTRICAS</v>
          </cell>
        </row>
        <row r="338">
          <cell r="A338" t="str">
            <v>AWK-LP600N</v>
          </cell>
          <cell r="B338" t="str">
            <v>LICUADORA PERSONAL 0.6 LITROS NEGRA</v>
          </cell>
          <cell r="C338" t="str">
            <v>PEQUEÑOS ELECTRO</v>
          </cell>
          <cell r="D338" t="str">
            <v>LICUADORAS</v>
          </cell>
        </row>
        <row r="339">
          <cell r="A339" t="str">
            <v>AWK-LP600P</v>
          </cell>
          <cell r="B339" t="str">
            <v>LICUADORA PERSONAL 0.6 LITROS ROSA</v>
          </cell>
          <cell r="C339" t="str">
            <v>PEQUEÑOS ELECTRO</v>
          </cell>
          <cell r="D339" t="str">
            <v>LICUADORAS</v>
          </cell>
        </row>
        <row r="340">
          <cell r="A340" t="str">
            <v>AWK-LP600S</v>
          </cell>
          <cell r="B340" t="str">
            <v>LICUADORA PERSONAL 0.6 LITROS CELESTE</v>
          </cell>
          <cell r="C340" t="str">
            <v>PEQUEÑOS ELECTRO</v>
          </cell>
          <cell r="D340" t="str">
            <v>LICUADORAS</v>
          </cell>
        </row>
        <row r="341">
          <cell r="A341" t="str">
            <v>AWK-MWM020N</v>
          </cell>
          <cell r="B341" t="str">
            <v>MICROONDAS MECANICO AIWA 700W 20L</v>
          </cell>
          <cell r="C341" t="str">
            <v>PEQUEÑOS ELECTRO</v>
          </cell>
          <cell r="D341" t="str">
            <v>MICROONDAS</v>
          </cell>
        </row>
        <row r="342">
          <cell r="A342" t="str">
            <v>AWK-MWD020N</v>
          </cell>
          <cell r="B342" t="str">
            <v>MICROONDAS DIGITAL AIWA 700W 20L</v>
          </cell>
          <cell r="C342" t="str">
            <v>PEQUEÑOS ELECTRO</v>
          </cell>
          <cell r="D342" t="str">
            <v>MICROONDAS</v>
          </cell>
        </row>
        <row r="343">
          <cell r="A343" t="str">
            <v>AWK-MLL150I</v>
          </cell>
          <cell r="B343" t="str">
            <v>MOLINILLO DE CAFÉ AIWA COOK 150W MOTOR SILENCIOSO - CUCHILLAS DE ACERO INOXIDABLE</v>
          </cell>
          <cell r="C343" t="str">
            <v>PEQUEÑOS ELECTRO</v>
          </cell>
          <cell r="D343" t="str">
            <v>CAFETERAS</v>
          </cell>
        </row>
        <row r="344">
          <cell r="A344" t="str">
            <v>AWK-PG2000N</v>
          </cell>
          <cell r="B344" t="str">
            <v>PARRILLA GRIL DOBLE 2000W APERTURA 180 GRADOS ANTIDESLIZANTE</v>
          </cell>
          <cell r="C344" t="str">
            <v>PEQUEÑOS ELECTRO</v>
          </cell>
          <cell r="D344" t="str">
            <v>PARRILLA ELECTRICA</v>
          </cell>
        </row>
        <row r="345">
          <cell r="A345" t="str">
            <v>AWK-PIC500B</v>
          </cell>
          <cell r="B345" t="str">
            <v>PICADOR DE ALIMENTOS AIWA COOK 1L 500W - CUCHILLAS DOBLES DE ACERO INOXIDABLE</v>
          </cell>
          <cell r="C345" t="str">
            <v>PEQUEÑOS ELECTRO</v>
          </cell>
          <cell r="D345" t="str">
            <v>PICADORAS</v>
          </cell>
        </row>
        <row r="346">
          <cell r="A346" t="str">
            <v>AWK-MP1200N</v>
          </cell>
          <cell r="B346" t="str">
            <v>POCHOCLERA ELÉCTRICA AIWA COOK</v>
          </cell>
          <cell r="C346" t="str">
            <v>PEQUEÑOS ELECTRO</v>
          </cell>
          <cell r="D346" t="str">
            <v>POCHOCLERAS</v>
          </cell>
        </row>
        <row r="347">
          <cell r="A347" t="str">
            <v>AWK-RLE150B</v>
          </cell>
          <cell r="B347" t="str">
            <v>RALLADOR ELÉCTRICO AIWA 5 CUCHILLAS + EMPUJADOR DE ALIMENTOS</v>
          </cell>
          <cell r="C347" t="str">
            <v>PEQUEÑOS ELECTRO</v>
          </cell>
          <cell r="D347" t="str">
            <v>RALLADORES</v>
          </cell>
        </row>
        <row r="348">
          <cell r="A348" t="str">
            <v>AWK-SW100I</v>
          </cell>
          <cell r="B348" t="str">
            <v>SANDWICHERA ELÉCTRICA AIWA COOK AWK-SW100I</v>
          </cell>
          <cell r="C348" t="str">
            <v>PEQUEÑOS ELECTRO</v>
          </cell>
          <cell r="D348" t="str">
            <v>SANDWICHERAS</v>
          </cell>
        </row>
        <row r="349">
          <cell r="A349" t="str">
            <v>AWK-SW310I</v>
          </cell>
          <cell r="B349" t="str">
            <v>SANDWICHERA ELÉCTRICA 3 EN 1 AIWA COOK</v>
          </cell>
          <cell r="C349" t="str">
            <v>PEQUEÑOS ELECTRO</v>
          </cell>
          <cell r="D349" t="str">
            <v>SANDWICHERAS</v>
          </cell>
        </row>
        <row r="350">
          <cell r="A350" t="str">
            <v>AWK-SW200I</v>
          </cell>
          <cell r="B350" t="str">
            <v>SANDWICHERA ELÉCTRICA AIWA 750W SUPERFICIE ANTIADHERENTE CALENTAMIENTO RÁPIDO - NEGRA</v>
          </cell>
          <cell r="C350" t="str">
            <v>PEQUEÑOS ELECTRO</v>
          </cell>
          <cell r="D350" t="str">
            <v>SANDWICHERAS</v>
          </cell>
        </row>
        <row r="351">
          <cell r="A351" t="str">
            <v>AWK-TO800B</v>
          </cell>
          <cell r="B351" t="str">
            <v>TOSTADORA ELECTRICA 800W BLANCA</v>
          </cell>
          <cell r="C351" t="str">
            <v>PEQUEÑOS ELECTRO</v>
          </cell>
          <cell r="D351" t="str">
            <v>TOSTADORAS</v>
          </cell>
        </row>
        <row r="352">
          <cell r="A352" t="str">
            <v>AWK-TO800N</v>
          </cell>
          <cell r="B352" t="str">
            <v>TOSTADORA ELECTRICA 800W NEGRA</v>
          </cell>
          <cell r="C352" t="str">
            <v>PEQUEÑOS ELECTRO</v>
          </cell>
          <cell r="D352" t="str">
            <v>TOSTADORAS</v>
          </cell>
        </row>
        <row r="353">
          <cell r="A353" t="str">
            <v>AWK-TO700B</v>
          </cell>
          <cell r="B353" t="str">
            <v>TOSTADORA ELECTRICA 700W BLANCA</v>
          </cell>
          <cell r="C353" t="str">
            <v>PEQUEÑOS ELECTRO</v>
          </cell>
          <cell r="D353" t="str">
            <v>TOSTADORAS</v>
          </cell>
        </row>
        <row r="354">
          <cell r="A354" t="str">
            <v>AWK-TO700N</v>
          </cell>
          <cell r="B354" t="str">
            <v>TOSTADORA ELECTRICA 700W NEGRA</v>
          </cell>
          <cell r="C354" t="str">
            <v>PEQUEÑOS ELECTRO</v>
          </cell>
          <cell r="D354" t="str">
            <v>TOSTADORAS</v>
          </cell>
        </row>
        <row r="355">
          <cell r="A355" t="str">
            <v>AW-YG816</v>
          </cell>
          <cell r="B355" t="str">
            <v>YOGURTERA DIGITAL AW-YG816</v>
          </cell>
          <cell r="C355" t="str">
            <v>PEQUEÑOS ELECTRO</v>
          </cell>
          <cell r="D355" t="str">
            <v>YOGURTERAS</v>
          </cell>
        </row>
        <row r="356">
          <cell r="A356" t="str">
            <v>AW-YG715</v>
          </cell>
          <cell r="B356" t="str">
            <v>YOGURTERA ELÉCTRICA AW-YG715</v>
          </cell>
          <cell r="C356" t="str">
            <v>PEQUEÑOS ELECTRO</v>
          </cell>
          <cell r="D356" t="str">
            <v>YOGURTERAS</v>
          </cell>
        </row>
        <row r="357">
          <cell r="A357" t="str">
            <v>AW-SB101A</v>
          </cell>
          <cell r="B357" t="str">
            <v>SMART BAND AZUL</v>
          </cell>
          <cell r="C357" t="str">
            <v>SMARTWATCHES</v>
          </cell>
          <cell r="D357" t="str">
            <v>SMARTBAND</v>
          </cell>
        </row>
        <row r="358">
          <cell r="A358" t="str">
            <v>AW-SB101N</v>
          </cell>
          <cell r="B358" t="str">
            <v>SMART BAND NEGRA</v>
          </cell>
          <cell r="C358" t="str">
            <v>SMARTWATCHES</v>
          </cell>
          <cell r="D358" t="str">
            <v>SMARTBAND</v>
          </cell>
        </row>
        <row r="359">
          <cell r="A359" t="str">
            <v>AW-SB101R</v>
          </cell>
          <cell r="B359" t="str">
            <v>SMART BAND ROSA</v>
          </cell>
          <cell r="C359" t="str">
            <v>SMARTWATCHES</v>
          </cell>
          <cell r="D359" t="str">
            <v>SMARTBAND</v>
          </cell>
        </row>
        <row r="360">
          <cell r="A360" t="str">
            <v>AW-SMW101N</v>
          </cell>
          <cell r="B360" t="str">
            <v>SMARTWATCH ENTRY</v>
          </cell>
          <cell r="C360" t="str">
            <v>SMARTWATCHES</v>
          </cell>
          <cell r="D360" t="str">
            <v>SMARTWATCHES</v>
          </cell>
        </row>
        <row r="361">
          <cell r="A361" t="str">
            <v>AW-SMW301N</v>
          </cell>
          <cell r="B361" t="str">
            <v>SMARTWATCH HIGH</v>
          </cell>
          <cell r="C361" t="str">
            <v>SMARTWATCHES</v>
          </cell>
          <cell r="D361" t="str">
            <v>SMARTWATCHES</v>
          </cell>
        </row>
        <row r="362">
          <cell r="A362" t="str">
            <v>AW-SMW201G</v>
          </cell>
          <cell r="B362" t="str">
            <v>SMARTWATCH MIDDLE GRIS</v>
          </cell>
          <cell r="C362" t="str">
            <v>SMARTWATCHES</v>
          </cell>
          <cell r="D362" t="str">
            <v>SMARTWATCHES</v>
          </cell>
        </row>
        <row r="363">
          <cell r="A363" t="str">
            <v>AW-SMW201N</v>
          </cell>
          <cell r="B363" t="str">
            <v>SMARTWATCH MIDDLE NEGRO</v>
          </cell>
          <cell r="C363" t="str">
            <v>SMARTWATCHES</v>
          </cell>
          <cell r="D363" t="str">
            <v>SMARTWATCHES</v>
          </cell>
        </row>
        <row r="364">
          <cell r="A364" t="str">
            <v>AW-PRY100N</v>
          </cell>
          <cell r="B364" t="str">
            <v>PROYECTOR LED AIWA FHD 200 LUMENS 48W</v>
          </cell>
          <cell r="C364" t="str">
            <v>TV</v>
          </cell>
          <cell r="D364" t="str">
            <v>PROYECTORES</v>
          </cell>
        </row>
        <row r="365">
          <cell r="A365" t="str">
            <v>AW-PRY300B</v>
          </cell>
          <cell r="B365" t="str">
            <v>PROYECTOR LED AIWA FHD 400 LUMENS 95W COLOR BLANCO</v>
          </cell>
          <cell r="C365" t="str">
            <v>TV</v>
          </cell>
          <cell r="D365" t="str">
            <v>PROYECTORES</v>
          </cell>
        </row>
        <row r="366">
          <cell r="A366" t="str">
            <v>AW-PRY400N</v>
          </cell>
          <cell r="B366" t="str">
            <v>PROYECTOR LED AIWA FHD 400 LUMENS 95W COLOR NEGRO</v>
          </cell>
          <cell r="C366" t="str">
            <v>TV</v>
          </cell>
          <cell r="D366" t="str">
            <v>PROYECTORES</v>
          </cell>
        </row>
        <row r="367">
          <cell r="A367" t="str">
            <v>AW-BP05N</v>
          </cell>
          <cell r="B367" t="str">
            <v>BATIDORA DE PIE 5 LITROS NEGRO 1200W MECANICA 6 VEL</v>
          </cell>
          <cell r="C367" t="str">
            <v>PEQUEÑOS ELECTRO</v>
          </cell>
          <cell r="D367" t="str">
            <v>BATIDORAS</v>
          </cell>
        </row>
        <row r="368">
          <cell r="A368" t="str">
            <v>AW-BP05R</v>
          </cell>
          <cell r="B368" t="str">
            <v>BATIDORA DE PIE 5 LITROS ROJO 1200W MECANICA 6 VEL</v>
          </cell>
          <cell r="C368" t="str">
            <v>PEQUEÑOS ELECTRO</v>
          </cell>
          <cell r="D368" t="str">
            <v>BATIDORAS</v>
          </cell>
        </row>
        <row r="369">
          <cell r="A369" t="str">
            <v>AWK-CEA100</v>
          </cell>
          <cell r="B369" t="str">
            <v>ADAPTADOR DE CAPSULAS</v>
          </cell>
          <cell r="C369" t="str">
            <v>PEQUEÑOS ELECTRO</v>
          </cell>
          <cell r="D369" t="str">
            <v>CAFETERAS</v>
          </cell>
        </row>
        <row r="370">
          <cell r="A370" t="str">
            <v>AW-PI65_SP</v>
          </cell>
          <cell r="B370" t="str">
            <v>SOPORTE PANTALLA INTERACTIVA</v>
          </cell>
          <cell r="C370" t="str">
            <v>TV</v>
          </cell>
          <cell r="D370" t="str">
            <v>ACCESORIOS</v>
          </cell>
        </row>
        <row r="371">
          <cell r="A371" t="str">
            <v>AW-PI65</v>
          </cell>
          <cell r="B371" t="str">
            <v>PANTALLA INTERACTIVA</v>
          </cell>
          <cell r="C371" t="str">
            <v>TV</v>
          </cell>
          <cell r="D371" t="str">
            <v>PANTALLA INTERACTIVA</v>
          </cell>
        </row>
        <row r="372">
          <cell r="A372" t="str">
            <v>AWH-MC101</v>
          </cell>
          <cell r="B372" t="str">
            <v>MAQUINA DE COSER PORTATIL</v>
          </cell>
          <cell r="C372" t="str">
            <v>HOGAR</v>
          </cell>
          <cell r="D372" t="str">
            <v>MAQUINA DE COSER</v>
          </cell>
        </row>
        <row r="373">
          <cell r="A373" t="str">
            <v>AWH-MC201</v>
          </cell>
          <cell r="B373" t="str">
            <v>MAQUINA DE COSER</v>
          </cell>
          <cell r="C373" t="str">
            <v>HOGAR</v>
          </cell>
          <cell r="D373" t="str">
            <v>MAQUINA DE COSER</v>
          </cell>
        </row>
        <row r="374">
          <cell r="A374" t="str">
            <v>AWK-CE300C</v>
          </cell>
          <cell r="B374" t="str">
            <v>CAFETERA ESPRESSO 1.2LT CREMA</v>
          </cell>
          <cell r="C374" t="str">
            <v>PEQUEÑOS ELECTRO</v>
          </cell>
          <cell r="D374" t="str">
            <v>CAFETERAS</v>
          </cell>
        </row>
        <row r="375">
          <cell r="A375" t="str">
            <v>AWK-CE300N</v>
          </cell>
          <cell r="B375" t="str">
            <v>CAFETERA ESPRESSO 1.2LT NEGRA</v>
          </cell>
          <cell r="C375" t="str">
            <v>PEQUEÑOS ELECTRO</v>
          </cell>
          <cell r="D375" t="str">
            <v>CAFETERAS</v>
          </cell>
        </row>
        <row r="376">
          <cell r="A376" t="str">
            <v>AWK-CE300A</v>
          </cell>
          <cell r="B376" t="str">
            <v>CAFETERA ESPRESSO AZUL</v>
          </cell>
          <cell r="C376" t="str">
            <v>PEQUEÑOS ELECTRO</v>
          </cell>
          <cell r="D376" t="str">
            <v>CAFETERAS</v>
          </cell>
        </row>
        <row r="377">
          <cell r="A377" t="str">
            <v>AWK-CE400I</v>
          </cell>
          <cell r="B377" t="str">
            <v>CAFETERA ESPRESSO AIWA LATTE MASTER</v>
          </cell>
          <cell r="C377" t="str">
            <v>PEQUEÑOS ELECTRO</v>
          </cell>
          <cell r="D377" t="str">
            <v>CAFETERAS</v>
          </cell>
        </row>
        <row r="378">
          <cell r="A378" t="str">
            <v>AW-TR86N</v>
          </cell>
          <cell r="B378" t="str">
            <v>TRIPODE PARA PARLANTE</v>
          </cell>
          <cell r="C378" t="str">
            <v>ACCESORIOS</v>
          </cell>
          <cell r="D378" t="str">
            <v>TRIPODE</v>
          </cell>
        </row>
        <row r="379">
          <cell r="A379" t="str">
            <v>BG-220-SM</v>
          </cell>
          <cell r="B379" t="str">
            <v>BASE PARA NOTEBOOK ALUMINIO BG-220-SM</v>
          </cell>
          <cell r="C379" t="str">
            <v>ACCESORIOS</v>
          </cell>
          <cell r="D379" t="str">
            <v>SOPORTES</v>
          </cell>
        </row>
        <row r="380">
          <cell r="A380" t="str">
            <v>BG-330-SM</v>
          </cell>
          <cell r="B380" t="str">
            <v>BASE PARA NOTEBOOK ALUMINIO BG-330-SM</v>
          </cell>
          <cell r="C380" t="str">
            <v>ACCESORIOS</v>
          </cell>
          <cell r="D380" t="str">
            <v>SOPORTES</v>
          </cell>
        </row>
        <row r="381">
          <cell r="A381" t="str">
            <v>SN-100-SM</v>
          </cell>
          <cell r="B381" t="str">
            <v>SOPORTE PARA MONITOR Y NOTEBOOK SN-100-SM</v>
          </cell>
          <cell r="C381" t="str">
            <v>ACCESORIOS</v>
          </cell>
          <cell r="D381" t="str">
            <v>SOPORTES</v>
          </cell>
        </row>
        <row r="382">
          <cell r="A382" t="str">
            <v>SN-200-SM</v>
          </cell>
          <cell r="B382" t="str">
            <v>SOPORTE PARA NOTEBOOK</v>
          </cell>
          <cell r="C382" t="str">
            <v>ACCESORIOS</v>
          </cell>
          <cell r="D382" t="str">
            <v>SOPORTES</v>
          </cell>
        </row>
        <row r="383">
          <cell r="A383" t="str">
            <v>SN-300-SM</v>
          </cell>
          <cell r="B383" t="str">
            <v>SOPORTE PARA NOTEBOOK 360°</v>
          </cell>
          <cell r="C383" t="str">
            <v>ACCESORIOS</v>
          </cell>
          <cell r="D383" t="str">
            <v>SOPORTES</v>
          </cell>
        </row>
        <row r="384">
          <cell r="A384" t="str">
            <v>SP-100-SM</v>
          </cell>
          <cell r="B384" t="str">
            <v>SOPORTE PARA MONITOR</v>
          </cell>
          <cell r="C384" t="str">
            <v>ACCESORIOS</v>
          </cell>
          <cell r="D384" t="str">
            <v>SOPORTES</v>
          </cell>
        </row>
        <row r="385">
          <cell r="A385" t="str">
            <v>SP-200-SM</v>
          </cell>
          <cell r="B385" t="str">
            <v>SOPORTE PARA DOS MONITORES SP-200-SM</v>
          </cell>
          <cell r="C385" t="str">
            <v>ACCESORIOS</v>
          </cell>
          <cell r="D385" t="str">
            <v>SOPORTES</v>
          </cell>
        </row>
        <row r="386">
          <cell r="A386" t="str">
            <v>STM-200-SM</v>
          </cell>
          <cell r="B386" t="str">
            <v>SOPORTE TABLET COLOR SIMIL MADERA - REGULABLE STM-200-SM</v>
          </cell>
          <cell r="C386" t="str">
            <v>ACCESORIOS</v>
          </cell>
          <cell r="D386" t="str">
            <v>SOPORTES</v>
          </cell>
        </row>
        <row r="387">
          <cell r="A387" t="str">
            <v>STS-100-SM</v>
          </cell>
          <cell r="B387" t="str">
            <v>SOPORTE TABLET COLOR GRIS - REGULABLE STS-100-SM</v>
          </cell>
          <cell r="C387" t="str">
            <v>ACCESORIOS</v>
          </cell>
          <cell r="D387" t="str">
            <v>SOPORTES</v>
          </cell>
        </row>
        <row r="388">
          <cell r="A388" t="str">
            <v>TRT-86N</v>
          </cell>
          <cell r="B388" t="str">
            <v>TRÍPODE PARA PARLANTES</v>
          </cell>
          <cell r="C388" t="str">
            <v>ACCESORIOS</v>
          </cell>
          <cell r="D388" t="str">
            <v>SOPORTES</v>
          </cell>
        </row>
        <row r="389">
          <cell r="A389" t="str">
            <v>HAL-31</v>
          </cell>
          <cell r="B389" t="str">
            <v>ARO LUZ SUZUKI TIME 3 EN 1 ART. C/BASE HAL-31</v>
          </cell>
          <cell r="C389" t="str">
            <v>ACCESORIOS</v>
          </cell>
          <cell r="D389" t="str">
            <v>ARO LUZ</v>
          </cell>
        </row>
        <row r="390">
          <cell r="A390" t="str">
            <v>AST-100</v>
          </cell>
          <cell r="B390" t="str">
            <v>ASPIRADORA ROBOT TIVOLI</v>
          </cell>
          <cell r="C390" t="str">
            <v>HOGAR</v>
          </cell>
          <cell r="D390" t="str">
            <v>ASPIRADORAS</v>
          </cell>
        </row>
        <row r="391">
          <cell r="A391" t="str">
            <v>AST-180</v>
          </cell>
          <cell r="B391" t="str">
            <v>ASPIRADORA DE MANO VERTICAL 2 EN 1 TIVOLI 800W</v>
          </cell>
          <cell r="C391" t="str">
            <v>HOGAR</v>
          </cell>
          <cell r="D391" t="str">
            <v>ASPIRADORAS</v>
          </cell>
        </row>
        <row r="392">
          <cell r="A392" t="str">
            <v>AST-216</v>
          </cell>
          <cell r="B392" t="str">
            <v>ASPIRADORA CON BOLSA TIVOLI 1600W 2L</v>
          </cell>
          <cell r="C392" t="str">
            <v>HOGAR</v>
          </cell>
          <cell r="D392" t="str">
            <v>ASPIRADORAS</v>
          </cell>
        </row>
        <row r="393">
          <cell r="A393" t="str">
            <v>AMT-101</v>
          </cell>
          <cell r="B393" t="str">
            <v>CORTAPELO ASPIRADORA COLOR BLANCA TIVOLI AMT-101</v>
          </cell>
          <cell r="C393" t="str">
            <v>PET</v>
          </cell>
          <cell r="D393" t="str">
            <v>ASPIRADORAS</v>
          </cell>
        </row>
        <row r="394">
          <cell r="A394" t="str">
            <v>SMT-201</v>
          </cell>
          <cell r="B394" t="str">
            <v>SECADORA PARA MASCOTAS DE AIRE CALIENTE TIVOLI SMT-201</v>
          </cell>
          <cell r="C394" t="str">
            <v>PET</v>
          </cell>
          <cell r="D394" t="str">
            <v>ASPIRADORAS</v>
          </cell>
        </row>
        <row r="395">
          <cell r="A395" t="str">
            <v>AVT-010B</v>
          </cell>
          <cell r="B395" t="str">
            <v>AURICULAR BLUETOOTH VINCHA TIVOLI AVT-010B BLANCO</v>
          </cell>
          <cell r="C395" t="str">
            <v>AUDIO</v>
          </cell>
          <cell r="D395" t="str">
            <v>AURICULARES</v>
          </cell>
        </row>
        <row r="396">
          <cell r="A396" t="str">
            <v>AVT-010N</v>
          </cell>
          <cell r="B396" t="str">
            <v>AURICULAR BLUETOOTH VINCHA TIVOLI AVT-010N NEGRO</v>
          </cell>
          <cell r="C396" t="str">
            <v>AUDIO</v>
          </cell>
          <cell r="D396" t="str">
            <v>AURICULARES</v>
          </cell>
        </row>
        <row r="397">
          <cell r="A397" t="str">
            <v>BPT-052N</v>
          </cell>
          <cell r="B397" t="str">
            <v>BATIDORA PLANETARIA 5.2LITROS TIVOLI NEGRA</v>
          </cell>
          <cell r="C397" t="str">
            <v>PEQUEÑOS ELECTRO</v>
          </cell>
          <cell r="D397" t="str">
            <v>BATIDORAS</v>
          </cell>
        </row>
        <row r="398">
          <cell r="A398" t="str">
            <v>BPT-052R</v>
          </cell>
          <cell r="B398" t="str">
            <v>BATIDORA PLANETARIA 5.2LITROS TIVOLI ROJA</v>
          </cell>
          <cell r="C398" t="str">
            <v>PEQUEÑOS ELECTRO</v>
          </cell>
          <cell r="D398" t="str">
            <v>BATIDORAS</v>
          </cell>
        </row>
        <row r="399">
          <cell r="A399" t="str">
            <v>BPT-500R</v>
          </cell>
          <cell r="B399" t="str">
            <v>BATIDORA PLANETARIA TIVOLI 5 LITROS 1200W</v>
          </cell>
          <cell r="C399" t="str">
            <v>PEQUEÑOS ELECTRO</v>
          </cell>
          <cell r="D399" t="str">
            <v>BATIDORAS</v>
          </cell>
        </row>
        <row r="400">
          <cell r="A400" t="str">
            <v>TCA-2000CB</v>
          </cell>
          <cell r="B400" t="str">
            <v>CALOVENTOR TIVOLI CAPILLA TCA-2000CB</v>
          </cell>
          <cell r="C400" t="str">
            <v>CLIMATIZACION</v>
          </cell>
          <cell r="D400" t="str">
            <v>CALEFACCIÓN</v>
          </cell>
        </row>
        <row r="401">
          <cell r="A401" t="str">
            <v>TKC-2000</v>
          </cell>
          <cell r="B401" t="str">
            <v>CALOVENTOR TAKUMA CAPILLA TKC-2000</v>
          </cell>
          <cell r="C401" t="str">
            <v>CLIMATIZACION</v>
          </cell>
          <cell r="D401" t="str">
            <v>CALEFACCIÓN</v>
          </cell>
        </row>
        <row r="402">
          <cell r="A402" t="str">
            <v>AW-CAM100IN</v>
          </cell>
          <cell r="B402" t="str">
            <v>CÁMARA DE SEGURIDAD INTERIOR AIWA 2MP FHD ROTATIVA WI-FI</v>
          </cell>
          <cell r="C402" t="str">
            <v>CCTV</v>
          </cell>
          <cell r="D402" t="str">
            <v>CAMARA SEGURIDAD</v>
          </cell>
        </row>
        <row r="403">
          <cell r="A403" t="str">
            <v>AW-CAM100IN-X2</v>
          </cell>
          <cell r="B403" t="str">
            <v>CÁMARA DE SEGURIDAD INTERIOR AIWA 2MP FHD ROTATIVA WI-FI PACK X 2</v>
          </cell>
          <cell r="C403" t="str">
            <v>CCTV</v>
          </cell>
          <cell r="D403" t="str">
            <v>CAMARA SEGURIDAD</v>
          </cell>
        </row>
        <row r="404">
          <cell r="A404" t="str">
            <v>AW-CAM100IN-X4</v>
          </cell>
          <cell r="B404" t="str">
            <v>CÁMARA DE SEGURIDAD INTERIOR AIWA 2MP FHD ROTATIVA WI-FI PACK X 4</v>
          </cell>
          <cell r="C404" t="str">
            <v>CCTV</v>
          </cell>
          <cell r="D404" t="str">
            <v>CAMARA SEGURIDAD</v>
          </cell>
        </row>
        <row r="405">
          <cell r="A405" t="str">
            <v>AW-CAM200IN</v>
          </cell>
          <cell r="B405" t="str">
            <v>CÁMARA DE SEGURIDAD INTERIOR AIWA 2MP FHD DOBLE LENTE ROTATIVA WI-FI</v>
          </cell>
          <cell r="C405" t="str">
            <v>CCTV</v>
          </cell>
          <cell r="D405" t="str">
            <v>CAMARA SEGURIDAD</v>
          </cell>
        </row>
        <row r="406">
          <cell r="A406" t="str">
            <v>AW-CAM200IN-X2</v>
          </cell>
          <cell r="B406" t="str">
            <v>CÁMARA DE SEGURIDAD INTERIOR AIWA AW-CAM200IN PACK X 2</v>
          </cell>
          <cell r="C406" t="str">
            <v>CCTV</v>
          </cell>
          <cell r="D406" t="str">
            <v>CAMARA SEGURIDAD</v>
          </cell>
        </row>
        <row r="407">
          <cell r="A407" t="str">
            <v>AW-CAM200IN-X4</v>
          </cell>
          <cell r="B407" t="str">
            <v>CÁMARA DE SEGURIDAD INTERIOR AIWA AW-CAM200IN PACK X 4</v>
          </cell>
          <cell r="C407" t="str">
            <v>CCTV</v>
          </cell>
          <cell r="D407" t="str">
            <v>CAMARA SEGURIDAD</v>
          </cell>
        </row>
        <row r="408">
          <cell r="A408" t="str">
            <v>AW-CAM400EX</v>
          </cell>
          <cell r="B408" t="str">
            <v>CÁMARA DE SEGURIDAD EXTERIOR AIWA 2MP ROTATIVA WI-FI IP65</v>
          </cell>
          <cell r="C408" t="str">
            <v>CCTV</v>
          </cell>
          <cell r="D408" t="str">
            <v>CAMARA SEGURIDAD</v>
          </cell>
        </row>
        <row r="409">
          <cell r="A409" t="str">
            <v>AW-CAM400EX-X2</v>
          </cell>
          <cell r="B409" t="str">
            <v>CÁMARA DE SEGURIDAD EXTERIOR AIWA AW-CAM400EX PACK X 2</v>
          </cell>
          <cell r="C409" t="str">
            <v>CCTV</v>
          </cell>
          <cell r="D409" t="str">
            <v>CAMARA SEGURIDAD</v>
          </cell>
        </row>
        <row r="410">
          <cell r="A410" t="str">
            <v>AW-CAM400EX-X4</v>
          </cell>
          <cell r="B410" t="str">
            <v>CÁMARA DE SEGURIDAD EXTERIOR AIWA AW-CAM400EX PACK X 4</v>
          </cell>
          <cell r="C410" t="str">
            <v>CCTV</v>
          </cell>
          <cell r="D410" t="str">
            <v>CAMARA SEGURIDAD</v>
          </cell>
        </row>
        <row r="411">
          <cell r="A411" t="str">
            <v>A12</v>
          </cell>
          <cell r="B411" t="str">
            <v>COMPRESOR PORTATIL NEGRO / 150 PSI / 5 MODOS A12 CYCPLUS</v>
          </cell>
          <cell r="C411" t="str">
            <v>CICLISMO</v>
          </cell>
          <cell r="D411" t="str">
            <v>COMPRESORES</v>
          </cell>
        </row>
        <row r="412">
          <cell r="A412" t="str">
            <v>A2</v>
          </cell>
          <cell r="B412" t="str">
            <v>COMPRESOR PORTATIL BICICLETA NEGRO 150 PSI MULTIAPLICACIÓN A2 CYCPLUS</v>
          </cell>
          <cell r="C412" t="str">
            <v>CICLISMO</v>
          </cell>
          <cell r="D412" t="str">
            <v>COMPRESORES</v>
          </cell>
        </row>
        <row r="413">
          <cell r="A413" t="str">
            <v>A8</v>
          </cell>
          <cell r="B413" t="str">
            <v>COMPRESOR PORTATIL BICICLETA GRIS 150 PSI A8 CYCPLUS</v>
          </cell>
          <cell r="C413" t="str">
            <v>CICLISMO</v>
          </cell>
          <cell r="D413" t="str">
            <v>COMPRESORES</v>
          </cell>
        </row>
        <row r="414">
          <cell r="A414" t="str">
            <v>AS2</v>
          </cell>
          <cell r="B414" t="str">
            <v>COMPRESOR PORTATIL CUBO CICLISMO AS2 CYCPLUS</v>
          </cell>
          <cell r="C414" t="str">
            <v>CICLISMO</v>
          </cell>
          <cell r="D414" t="str">
            <v>COMPRESORES</v>
          </cell>
        </row>
        <row r="415">
          <cell r="A415" t="str">
            <v>G1</v>
          </cell>
          <cell r="B415" t="str">
            <v>CICLOCOMPUTADORA GPS CICLISMO / BLUETOOTH / ANT+ / 2.0 INCH / IPX6 G1 CYCPLUS</v>
          </cell>
          <cell r="C415" t="str">
            <v>CICLISMO</v>
          </cell>
          <cell r="D415" t="str">
            <v>CICLOCOMPUTADORA</v>
          </cell>
        </row>
        <row r="416">
          <cell r="A416" t="str">
            <v>M1</v>
          </cell>
          <cell r="B416" t="str">
            <v>CICLOCOMPUTADORA GPS CICLISMO / BLUETOOTH / ANT+ / 2.9 INCH / IPX6 M1 CYCPLUS</v>
          </cell>
          <cell r="C416" t="str">
            <v>CICLISMO</v>
          </cell>
          <cell r="D416" t="str">
            <v>CICLOCOMPUTADORA</v>
          </cell>
        </row>
        <row r="417">
          <cell r="A417" t="str">
            <v>M2</v>
          </cell>
          <cell r="B417" t="str">
            <v>CICLOCOMPUTADORA GPS CICLISMO / BLUETOOTH / ANT+ / 2.5 INCH / IPX6 M2 CYCPLUS</v>
          </cell>
          <cell r="C417" t="str">
            <v>CICLISMO</v>
          </cell>
          <cell r="D417" t="str">
            <v>CICLOCOMPUTADORA</v>
          </cell>
        </row>
        <row r="418">
          <cell r="A418" t="str">
            <v>C3</v>
          </cell>
          <cell r="B418" t="str">
            <v>SENSOR DE VELOCIDAD Y CADENCIA PARA BICICLETAS C3 CYCPLUS</v>
          </cell>
          <cell r="C418" t="str">
            <v>CICLISMO</v>
          </cell>
          <cell r="D418" t="str">
            <v>ACCESORIOS</v>
          </cell>
        </row>
        <row r="419">
          <cell r="A419" t="str">
            <v>Z1</v>
          </cell>
          <cell r="B419" t="str">
            <v>SOPORTE CICLOCOMPUTADORA COLOR NEGRO Z1 CYCPLUS</v>
          </cell>
          <cell r="C419" t="str">
            <v>CICLISMO</v>
          </cell>
          <cell r="D419" t="str">
            <v>ACCESORIOS</v>
          </cell>
        </row>
        <row r="420">
          <cell r="A420" t="str">
            <v>U1</v>
          </cell>
          <cell r="B420" t="str">
            <v>RECEPTOR USB ANT+ CICLISMO U1 CYCPLUS</v>
          </cell>
          <cell r="C420" t="str">
            <v>CICLISMO</v>
          </cell>
          <cell r="D420" t="str">
            <v>ACCESORIOS</v>
          </cell>
        </row>
        <row r="421">
          <cell r="A421" t="str">
            <v>CET-100</v>
          </cell>
          <cell r="B421" t="str">
            <v>CAFETERA EXPRESSO TIVOLI DIGITAL</v>
          </cell>
          <cell r="C421" t="str">
            <v>PEQUEÑOS ELECTRO</v>
          </cell>
          <cell r="D421" t="str">
            <v>CAFETERAS</v>
          </cell>
        </row>
        <row r="422">
          <cell r="A422" t="str">
            <v>CFT-125N</v>
          </cell>
          <cell r="B422" t="str">
            <v>CAFETERA FILTRO TIVOLI 1,25 LITROS</v>
          </cell>
          <cell r="C422" t="str">
            <v>PEQUEÑOS ELECTRO</v>
          </cell>
          <cell r="D422" t="str">
            <v>CAFETERAS</v>
          </cell>
        </row>
        <row r="423">
          <cell r="A423" t="str">
            <v>CFT-180N</v>
          </cell>
          <cell r="B423" t="str">
            <v>CAFETERA FILTRO TIVOLI 1,8 LITROS</v>
          </cell>
          <cell r="C423" t="str">
            <v>PEQUEÑOS ELECTRO</v>
          </cell>
          <cell r="D423" t="str">
            <v>CAFETERAS</v>
          </cell>
        </row>
        <row r="424">
          <cell r="A424" t="str">
            <v>SET-010B</v>
          </cell>
          <cell r="B424" t="str">
            <v>SANDWICHERA ELÉCTRICA TIVOLI 750W COLOR BLANCO</v>
          </cell>
          <cell r="C424" t="str">
            <v>PEQUEÑOS ELECTRO</v>
          </cell>
          <cell r="D424" t="str">
            <v>SANDWICHERAS</v>
          </cell>
        </row>
        <row r="425">
          <cell r="A425" t="str">
            <v>SET-010N</v>
          </cell>
          <cell r="B425" t="str">
            <v>SANDWICHERA ELÉCTRICA TIVOLI 750W COLOR NEGRO</v>
          </cell>
          <cell r="C425" t="str">
            <v>PEQUEÑOS ELECTRO</v>
          </cell>
          <cell r="D425" t="str">
            <v>SANDWICHERAS</v>
          </cell>
        </row>
        <row r="426">
          <cell r="A426" t="str">
            <v>TST-207B</v>
          </cell>
          <cell r="B426" t="str">
            <v>TOSTADORA TIVOLI BLANCA Y AZUL</v>
          </cell>
          <cell r="C426" t="str">
            <v>PEQUEÑOS ELECTRO</v>
          </cell>
          <cell r="D426" t="str">
            <v>TOSTADORAS</v>
          </cell>
        </row>
        <row r="427">
          <cell r="A427" t="str">
            <v>TST-207N</v>
          </cell>
          <cell r="B427" t="str">
            <v>TOSTADORA TIVOLI NEGRA Y GRIS</v>
          </cell>
          <cell r="C427" t="str">
            <v>PEQUEÑOS ELECTRO</v>
          </cell>
          <cell r="D427" t="str">
            <v>TOSTADORAS</v>
          </cell>
        </row>
        <row r="428">
          <cell r="A428" t="str">
            <v>WFT-010N</v>
          </cell>
          <cell r="B428" t="str">
            <v>WAFFLERA TIVOLI 750W NEGRO</v>
          </cell>
          <cell r="C428" t="str">
            <v>PEQUEÑOS ELECTRO</v>
          </cell>
          <cell r="D428" t="str">
            <v>WAFFLERAS</v>
          </cell>
        </row>
        <row r="429">
          <cell r="A429" t="str">
            <v>FDT-007N</v>
          </cell>
          <cell r="B429" t="str">
            <v>FÁBRICA DE MINI DONUTS TIVOLI</v>
          </cell>
          <cell r="C429" t="str">
            <v>PEQUEÑOS ELECTRO</v>
          </cell>
          <cell r="D429" t="str">
            <v>FABRICA DE DONAS</v>
          </cell>
        </row>
        <row r="430">
          <cell r="A430" t="str">
            <v>EET-040B</v>
          </cell>
          <cell r="B430" t="str">
            <v>EXPRIMIDOR DE JUGO ELECTRICO BLANCO</v>
          </cell>
          <cell r="C430" t="str">
            <v>PEQUEÑOS ELECTRO</v>
          </cell>
          <cell r="D430" t="str">
            <v>EXPRIMIDORES</v>
          </cell>
        </row>
        <row r="431">
          <cell r="A431" t="str">
            <v>EMT-101I</v>
          </cell>
          <cell r="B431" t="str">
            <v>EXPRIMIDOR DE JUGO MANUAL</v>
          </cell>
          <cell r="C431" t="str">
            <v>PEQUEÑOS ELECTRO</v>
          </cell>
          <cell r="D431" t="str">
            <v>EXPRIMIDORES</v>
          </cell>
        </row>
        <row r="432">
          <cell r="A432" t="str">
            <v>EET-350I</v>
          </cell>
          <cell r="B432" t="str">
            <v>EXPRIMIDOR DE JUGO ELECTRICO INOX</v>
          </cell>
          <cell r="C432" t="str">
            <v>PEQUEÑOS ELECTRO</v>
          </cell>
          <cell r="D432" t="str">
            <v>EXPRIMIDORES</v>
          </cell>
        </row>
        <row r="433">
          <cell r="A433" t="str">
            <v>JET-201I</v>
          </cell>
          <cell r="B433" t="str">
            <v>JUGUERA ELÉCTRICA TIVOLI 600ML 400W  ESTA DISCONTINUADA</v>
          </cell>
          <cell r="C433" t="str">
            <v>PEQUEÑOS ELECTRO</v>
          </cell>
          <cell r="D433" t="str">
            <v>EXPRIMIDORES</v>
          </cell>
        </row>
        <row r="434">
          <cell r="A434" t="str">
            <v>FDT-042I</v>
          </cell>
          <cell r="B434" t="str">
            <v>FREIDORA TIVOLI 4,2L FDT-042I</v>
          </cell>
          <cell r="C434" t="str">
            <v>PEQUEÑOS ELECTRO</v>
          </cell>
          <cell r="D434" t="str">
            <v>FREIDORAS DE AIRE</v>
          </cell>
        </row>
        <row r="435">
          <cell r="A435" t="str">
            <v>FDT-062I</v>
          </cell>
          <cell r="B435" t="str">
            <v>FREIDORA DE AIRE 6,2 LITROS</v>
          </cell>
          <cell r="C435" t="str">
            <v>PEQUEÑOS ELECTRO</v>
          </cell>
          <cell r="D435" t="str">
            <v>FREIDORAS DE AIRE</v>
          </cell>
        </row>
        <row r="436">
          <cell r="A436" t="str">
            <v>FDT-090I</v>
          </cell>
          <cell r="B436" t="str">
            <v>FREIDORA TIVOLI 9L FDT-090I ESTA DISCONTINUADA</v>
          </cell>
          <cell r="C436" t="str">
            <v>PEQUEÑOS ELECTRO</v>
          </cell>
          <cell r="D436" t="str">
            <v>FREIDORAS DE AIRE</v>
          </cell>
        </row>
        <row r="437">
          <cell r="A437" t="str">
            <v>FHT-150N</v>
          </cell>
          <cell r="B437" t="str">
            <v>HORNO ELÉCTRICO Y FREIDORA TIVOLI 4 MODOS 11,6L - 1200W</v>
          </cell>
          <cell r="C437" t="str">
            <v>PEQUEÑOS ELECTRO</v>
          </cell>
          <cell r="D437" t="str">
            <v>FREIDORAS DE AIRE</v>
          </cell>
        </row>
        <row r="438">
          <cell r="A438" t="str">
            <v>SIC-101A</v>
          </cell>
          <cell r="B438" t="str">
            <v>SILLA GAMER CONSTRICTOR LAMPALAGUA AMARILLA</v>
          </cell>
          <cell r="C438" t="str">
            <v>GAMING</v>
          </cell>
          <cell r="D438" t="str">
            <v>SILLAS GAMER</v>
          </cell>
        </row>
        <row r="439">
          <cell r="A439" t="str">
            <v>SIC-101R</v>
          </cell>
          <cell r="B439" t="str">
            <v>SILLA GAMER CONSTRICTOR LAMPALAGUA ROJO</v>
          </cell>
          <cell r="C439" t="str">
            <v>GAMING</v>
          </cell>
          <cell r="D439" t="str">
            <v>SILLAS GAMER</v>
          </cell>
        </row>
        <row r="440">
          <cell r="A440" t="str">
            <v>SIC-101V</v>
          </cell>
          <cell r="B440" t="str">
            <v>SILLA GAMER CONSTRICTOR LAMPALAGUA VERDE</v>
          </cell>
          <cell r="C440" t="str">
            <v>GAMING</v>
          </cell>
          <cell r="D440" t="str">
            <v>SILLAS GAMER</v>
          </cell>
        </row>
        <row r="441">
          <cell r="A441" t="str">
            <v>HLT-100</v>
          </cell>
          <cell r="B441" t="str">
            <v>HIDROLAVADORA</v>
          </cell>
          <cell r="C441" t="str">
            <v>HERRAMIENTAS</v>
          </cell>
          <cell r="D441" t="str">
            <v>HIDROLAVADORAS</v>
          </cell>
        </row>
        <row r="442">
          <cell r="A442" t="str">
            <v>AAT-050</v>
          </cell>
          <cell r="B442" t="str">
            <v>AMOLADORA ANGULAR 115 MM 500W TIVOLI AAT-050</v>
          </cell>
          <cell r="C442" t="str">
            <v>HERRAMIENTAS</v>
          </cell>
          <cell r="D442" t="str">
            <v>CORTE</v>
          </cell>
        </row>
        <row r="443">
          <cell r="A443" t="str">
            <v>APT-012</v>
          </cell>
          <cell r="B443" t="str">
            <v>TALADRO INALAMBRICO ATORNILLADOR PERCUTOR 12V TIVOLI APT-012</v>
          </cell>
          <cell r="C443" t="str">
            <v>HERRAMIENTAS</v>
          </cell>
          <cell r="D443" t="str">
            <v>PERFORACION</v>
          </cell>
        </row>
        <row r="444">
          <cell r="A444" t="str">
            <v>APT-020</v>
          </cell>
          <cell r="B444" t="str">
            <v>TALADRO INALAMBRICO ATORNILLADOR PERCUTOR 20V TIVOLI APT-020</v>
          </cell>
          <cell r="C444" t="str">
            <v>HERRAMIENTAS</v>
          </cell>
          <cell r="D444" t="str">
            <v>PERFORACION</v>
          </cell>
        </row>
        <row r="445">
          <cell r="A445" t="str">
            <v>DET-004</v>
          </cell>
          <cell r="B445" t="str">
            <v>DESTORNILLADOR ELECTRICO 4V CON KIT DE ACCESORIOS TIVOLI DET-004</v>
          </cell>
          <cell r="C445" t="str">
            <v>HERRAMIENTAS</v>
          </cell>
          <cell r="D445" t="str">
            <v>PERFORACION</v>
          </cell>
        </row>
        <row r="446">
          <cell r="A446" t="str">
            <v>LRT-035</v>
          </cell>
          <cell r="B446" t="str">
            <v>LIJADORA ROTO ORBITAL TIVOLI LRT-035</v>
          </cell>
          <cell r="C446" t="str">
            <v>HERRAMIENTAS</v>
          </cell>
          <cell r="D446" t="str">
            <v>LIJADORAS</v>
          </cell>
        </row>
        <row r="447">
          <cell r="A447" t="str">
            <v>TPT-050</v>
          </cell>
          <cell r="B447" t="str">
            <v>TALADRO PERCUTOR 500 W TIVOLI TPT-050</v>
          </cell>
          <cell r="C447" t="str">
            <v>HERRAMIENTAS</v>
          </cell>
          <cell r="D447" t="str">
            <v>PERFORACION</v>
          </cell>
        </row>
        <row r="448">
          <cell r="A448" t="str">
            <v>AAT-050 + APT-020</v>
          </cell>
          <cell r="B448" t="str">
            <v>KIT TIVOLI: AMOLADORA ANGULAR 500W AZUL 50HZ + TALADRO INALÁMBRICO ATORNILLADOR MALETÍN MECHAS</v>
          </cell>
          <cell r="C448" t="str">
            <v>HERRAMIENTAS</v>
          </cell>
          <cell r="D448" t="str">
            <v>COMBO</v>
          </cell>
        </row>
        <row r="449">
          <cell r="A449" t="str">
            <v>AAT-050 + DET-004</v>
          </cell>
          <cell r="B449" t="str">
            <v>KIT TIVOLI: AMOLADORA ANGULAR 500W AZUL + DESTORNILLADOR INALÁMBRICO AZUL</v>
          </cell>
          <cell r="C449" t="str">
            <v>HERRAMIENTAS</v>
          </cell>
          <cell r="D449" t="str">
            <v>COMBO</v>
          </cell>
        </row>
        <row r="450">
          <cell r="A450" t="str">
            <v>AAT-050 + APT-012</v>
          </cell>
          <cell r="B450" t="str">
            <v>KIT TIVOLI: TALADRO INALÁMBRICO AZUL + AMOLADORA ANGULAR 500W AZUL</v>
          </cell>
          <cell r="C450" t="str">
            <v>HERRAMIENTAS</v>
          </cell>
          <cell r="D450" t="str">
            <v>COMBO</v>
          </cell>
        </row>
        <row r="451">
          <cell r="A451" t="str">
            <v>AAT-050 + LRT-035</v>
          </cell>
          <cell r="C451" t="str">
            <v>HERRAMIENTAS</v>
          </cell>
          <cell r="D451" t="str">
            <v>COMBO</v>
          </cell>
        </row>
        <row r="452">
          <cell r="A452" t="str">
            <v>AAT-050 + TPT-050</v>
          </cell>
          <cell r="C452" t="str">
            <v>HERRAMIENTAS</v>
          </cell>
          <cell r="D452" t="str">
            <v>COMBO</v>
          </cell>
        </row>
        <row r="453">
          <cell r="A453" t="str">
            <v>APT-020 + DET-004</v>
          </cell>
          <cell r="B453" t="str">
            <v>KIT TIVOLI: TALADRO INALÁMBRICO ATORNILLADOR + MALETÍN CON MECHAS AZUL 50/60HZ + DESTORNILLADOR INALÁMBRICO AZUL</v>
          </cell>
          <cell r="C453" t="str">
            <v>HERRAMIENTAS</v>
          </cell>
          <cell r="D453" t="str">
            <v>COMBO</v>
          </cell>
        </row>
        <row r="454">
          <cell r="A454" t="str">
            <v>APT-020 + APT-012</v>
          </cell>
          <cell r="C454" t="str">
            <v>HERRAMIENTAS</v>
          </cell>
          <cell r="D454" t="str">
            <v>COMBO</v>
          </cell>
        </row>
        <row r="455">
          <cell r="A455" t="str">
            <v>APT-020 + LRT-035</v>
          </cell>
          <cell r="C455" t="str">
            <v>HERRAMIENTAS</v>
          </cell>
          <cell r="D455" t="str">
            <v>COMBO</v>
          </cell>
        </row>
        <row r="456">
          <cell r="A456" t="str">
            <v>APT-020 + TPT-050</v>
          </cell>
          <cell r="C456" t="str">
            <v>HERRAMIENTAS</v>
          </cell>
          <cell r="D456" t="str">
            <v>COMBO</v>
          </cell>
        </row>
        <row r="457">
          <cell r="A457" t="str">
            <v>APT-012 + DET-004</v>
          </cell>
          <cell r="B457" t="str">
            <v>KIT TIVOLI: TALADRO INALÁMBRICO AZUL 50/60HZ + DESTORNILLADOR INALÁMBRICO AZUL</v>
          </cell>
          <cell r="C457" t="str">
            <v>HERRAMIENTAS</v>
          </cell>
          <cell r="D457" t="str">
            <v>COMBO</v>
          </cell>
        </row>
        <row r="458">
          <cell r="A458" t="str">
            <v>APT-012 + APT-020</v>
          </cell>
          <cell r="C458" t="str">
            <v>HERRAMIENTAS</v>
          </cell>
          <cell r="D458" t="str">
            <v>COMBO</v>
          </cell>
        </row>
        <row r="459">
          <cell r="A459" t="str">
            <v>APT-012 + LRT-035</v>
          </cell>
          <cell r="C459" t="str">
            <v>HERRAMIENTAS</v>
          </cell>
          <cell r="D459" t="str">
            <v>COMBO</v>
          </cell>
        </row>
        <row r="460">
          <cell r="A460" t="str">
            <v>APT-012 + TPT-050</v>
          </cell>
          <cell r="C460" t="str">
            <v>HERRAMIENTAS</v>
          </cell>
          <cell r="D460" t="str">
            <v>COMBO</v>
          </cell>
        </row>
        <row r="461">
          <cell r="A461" t="str">
            <v>DET-004 + LRT-035</v>
          </cell>
          <cell r="C461" t="str">
            <v>HERRAMIENTAS</v>
          </cell>
          <cell r="D461" t="str">
            <v>COMBO</v>
          </cell>
        </row>
        <row r="462">
          <cell r="A462" t="str">
            <v>DET-004 + TPT-050</v>
          </cell>
          <cell r="C462" t="str">
            <v>HERRAMIENTAS</v>
          </cell>
          <cell r="D462" t="str">
            <v>COMBO</v>
          </cell>
        </row>
        <row r="463">
          <cell r="A463" t="str">
            <v>TPT-050 + LRT-035</v>
          </cell>
          <cell r="C463" t="str">
            <v>HERRAMIENTAS</v>
          </cell>
          <cell r="D463" t="str">
            <v>COMBO</v>
          </cell>
        </row>
        <row r="464">
          <cell r="A464" t="str">
            <v>APT-020 + DET-004</v>
          </cell>
          <cell r="B464" t="str">
            <v>KIT TIVOLI: TALADRO INALÁMBRICO ATORNILLADOR + DESTORNILLADOR INALÁMBRICO</v>
          </cell>
          <cell r="C464" t="str">
            <v>HERRAMIENTAS</v>
          </cell>
          <cell r="D464" t="str">
            <v>COMBO</v>
          </cell>
        </row>
        <row r="465">
          <cell r="A465" t="str">
            <v>DR-18W-ES</v>
          </cell>
          <cell r="B465" t="str">
            <v>DRIVER 18W</v>
          </cell>
          <cell r="C465" t="str">
            <v>ILUMINACION</v>
          </cell>
          <cell r="D465" t="str">
            <v>DRIVERS</v>
          </cell>
        </row>
        <row r="466">
          <cell r="A466" t="str">
            <v>DR-18W-ES-X2</v>
          </cell>
          <cell r="B466" t="str">
            <v>DRIVER 18W PACK X 2</v>
          </cell>
          <cell r="C466" t="str">
            <v>ILUMINACION</v>
          </cell>
          <cell r="D466" t="str">
            <v>DRIVERS</v>
          </cell>
        </row>
        <row r="467">
          <cell r="A467" t="str">
            <v>DR-18W-ES-X4</v>
          </cell>
          <cell r="B467" t="str">
            <v>DRIVER 18W PACK X 4</v>
          </cell>
          <cell r="C467" t="str">
            <v>ILUMINACION</v>
          </cell>
          <cell r="D467" t="str">
            <v>DRIVERS</v>
          </cell>
        </row>
        <row r="468">
          <cell r="A468" t="str">
            <v>DR-18W-ES-X6</v>
          </cell>
          <cell r="B468" t="str">
            <v>DRIVER 18W PACK X 6</v>
          </cell>
          <cell r="C468" t="str">
            <v>ILUMINACION</v>
          </cell>
          <cell r="D468" t="str">
            <v>DRIVERS</v>
          </cell>
        </row>
        <row r="469">
          <cell r="A469" t="str">
            <v>DR-24W-ES</v>
          </cell>
          <cell r="B469" t="str">
            <v>DRIVER 24W</v>
          </cell>
          <cell r="C469" t="str">
            <v>ILUMINACION</v>
          </cell>
          <cell r="D469" t="str">
            <v>DRIVERS</v>
          </cell>
        </row>
        <row r="470">
          <cell r="A470" t="str">
            <v>DR-24W-ES-X2</v>
          </cell>
          <cell r="B470" t="str">
            <v>DRIVER 24W PACK X 2</v>
          </cell>
          <cell r="C470" t="str">
            <v>ILUMINACION</v>
          </cell>
          <cell r="D470" t="str">
            <v>DRIVERS</v>
          </cell>
        </row>
        <row r="471">
          <cell r="A471" t="str">
            <v>DR-24W-ES-X4</v>
          </cell>
          <cell r="B471" t="str">
            <v>DRIVER 24W PACK X 4</v>
          </cell>
          <cell r="C471" t="str">
            <v>ILUMINACION</v>
          </cell>
          <cell r="D471" t="str">
            <v>DRIVERS</v>
          </cell>
        </row>
        <row r="472">
          <cell r="A472" t="str">
            <v>DR-24W-ES-X6</v>
          </cell>
          <cell r="B472" t="str">
            <v>DRIVER 24W PACK X 6</v>
          </cell>
          <cell r="C472" t="str">
            <v>ILUMINACION</v>
          </cell>
          <cell r="D472" t="str">
            <v>DRIVERS</v>
          </cell>
        </row>
        <row r="473">
          <cell r="A473" t="str">
            <v>LE-30F-ES</v>
          </cell>
          <cell r="B473" t="str">
            <v>LUZ DE EMERGENCIA 3W 30 LEDS LUZ FRÍA 220V</v>
          </cell>
          <cell r="C473" t="str">
            <v>ILUMINACION</v>
          </cell>
          <cell r="D473" t="str">
            <v>LUCES DE EMERGENCIA</v>
          </cell>
        </row>
        <row r="474">
          <cell r="A474" t="str">
            <v>LE-30F-ES-X2</v>
          </cell>
          <cell r="B474" t="str">
            <v>LUZ DE EMERGENCIA 3W 30 LEDS LUZ FRÍA 220V PACK X 2</v>
          </cell>
          <cell r="C474" t="str">
            <v>ILUMINACION</v>
          </cell>
          <cell r="D474" t="str">
            <v>LUCES DE EMERGENCIA</v>
          </cell>
        </row>
        <row r="475">
          <cell r="A475" t="str">
            <v>LE-30F-ES-X4</v>
          </cell>
          <cell r="B475" t="str">
            <v>LUZ DE EMERGENCIA 3W 30 LEDS LUZ FRÍA 220V PACK X 4</v>
          </cell>
          <cell r="C475" t="str">
            <v>ILUMINACION</v>
          </cell>
          <cell r="D475" t="str">
            <v>LUCES DE EMERGENCIA</v>
          </cell>
        </row>
        <row r="476">
          <cell r="A476" t="str">
            <v>LE-60F-ES</v>
          </cell>
          <cell r="B476" t="str">
            <v>LUZ DE EMERGENCIA 6W 60 LEDS LUZ FRÍA 220V</v>
          </cell>
          <cell r="C476" t="str">
            <v>ILUMINACION</v>
          </cell>
          <cell r="D476" t="str">
            <v>LUCES DE EMERGENCIA</v>
          </cell>
        </row>
        <row r="477">
          <cell r="A477" t="str">
            <v>LE-60F-ES-X2</v>
          </cell>
          <cell r="B477" t="str">
            <v>LUZ DE EMERGENCIA 6W 60 LEDS LUZ FRÍA 220V PACK X 2</v>
          </cell>
          <cell r="C477" t="str">
            <v>ILUMINACION</v>
          </cell>
          <cell r="D477" t="str">
            <v>LUCES DE EMERGENCIA</v>
          </cell>
        </row>
        <row r="478">
          <cell r="A478" t="str">
            <v>LE-60F-ES-X4</v>
          </cell>
          <cell r="B478" t="str">
            <v>LUZ DE EMERGENCIA 6W 60 LEDS LUZ FRÍA 220V PACK X 4</v>
          </cell>
          <cell r="C478" t="str">
            <v>ILUMINACION</v>
          </cell>
          <cell r="D478" t="str">
            <v>LUCES DE EMERGENCIA</v>
          </cell>
        </row>
        <row r="479">
          <cell r="A479" t="str">
            <v>PC-A18F-ES</v>
          </cell>
          <cell r="B479" t="str">
            <v>PANEL LED CUADRADO PARA APLICAR 20CM LUZ FRÍA 18W</v>
          </cell>
          <cell r="C479" t="str">
            <v>ILUMINACION</v>
          </cell>
          <cell r="D479" t="str">
            <v>PANELES LED</v>
          </cell>
        </row>
        <row r="480">
          <cell r="A480" t="str">
            <v>PC-A18F-ES-X2</v>
          </cell>
          <cell r="B480" t="str">
            <v>PANEL LED CUADRADO PARA APLICAR 20CM LUZ FRÍA 18W PACK X 2</v>
          </cell>
          <cell r="C480" t="str">
            <v>ILUMINACION</v>
          </cell>
          <cell r="D480" t="str">
            <v>PANELES LED</v>
          </cell>
        </row>
        <row r="481">
          <cell r="A481" t="str">
            <v>PC-A18F-ES-X4</v>
          </cell>
          <cell r="B481" t="str">
            <v>PANEL LED CUADRADO PARA APLICAR 20CM LUZ FRÍA 18W PACK X 4</v>
          </cell>
          <cell r="C481" t="str">
            <v>ILUMINACION</v>
          </cell>
          <cell r="D481" t="str">
            <v>PANELES LED</v>
          </cell>
        </row>
        <row r="482">
          <cell r="A482" t="str">
            <v>PC-A18F-ES-X6</v>
          </cell>
          <cell r="B482" t="str">
            <v>PANEL LED CUADRADO PARA APLICAR 20CM LUZ FRÍA 18W PACK X 6</v>
          </cell>
          <cell r="C482" t="str">
            <v>ILUMINACION</v>
          </cell>
          <cell r="D482" t="str">
            <v>PANELES LED</v>
          </cell>
        </row>
        <row r="483">
          <cell r="A483" t="str">
            <v>PC-A24F-ES</v>
          </cell>
          <cell r="B483" t="str">
            <v>PANEL LED CUADRADO PARA APLICAR 28CM LUZ FRÍA 24W</v>
          </cell>
          <cell r="C483" t="str">
            <v>ILUMINACION</v>
          </cell>
          <cell r="D483" t="str">
            <v>PANELES LED</v>
          </cell>
        </row>
        <row r="484">
          <cell r="A484" t="str">
            <v>PC-A24F-ES-X2</v>
          </cell>
          <cell r="B484" t="str">
            <v>PANEL LED CUADRADO PARA APLICAR 28CM LUZ FRÍA 24W PACK X 2</v>
          </cell>
          <cell r="C484" t="str">
            <v>ILUMINACION</v>
          </cell>
          <cell r="D484" t="str">
            <v>PANELES LED</v>
          </cell>
        </row>
        <row r="485">
          <cell r="A485" t="str">
            <v>PC-A24F-ES-X4</v>
          </cell>
          <cell r="B485" t="str">
            <v>PANEL LED CUADRADO PARA APLICAR 28CM LUZ FRÍA 24W PACK X 4</v>
          </cell>
          <cell r="C485" t="str">
            <v>ILUMINACION</v>
          </cell>
          <cell r="D485" t="str">
            <v>PANELES LED</v>
          </cell>
        </row>
        <row r="486">
          <cell r="A486" t="str">
            <v>PC-A24F-ES-X6</v>
          </cell>
          <cell r="B486" t="str">
            <v>PANEL LED CUADRADO PARA APLICAR 28CM LUZ FRÍA 24W PACK X 6</v>
          </cell>
          <cell r="C486" t="str">
            <v>ILUMINACION</v>
          </cell>
          <cell r="D486" t="str">
            <v>PANELES LED</v>
          </cell>
        </row>
        <row r="487">
          <cell r="A487" t="str">
            <v>PC-E18F-ES</v>
          </cell>
          <cell r="B487" t="str">
            <v>PANEL LED CUADRADO PARA EMBUTIR 22CM LUZ FRÍA 18W</v>
          </cell>
          <cell r="C487" t="str">
            <v>ILUMINACION</v>
          </cell>
          <cell r="D487" t="str">
            <v>PANELES LED</v>
          </cell>
        </row>
        <row r="488">
          <cell r="A488" t="str">
            <v>PC-E18F-ES-X2</v>
          </cell>
          <cell r="B488" t="str">
            <v>PANEL LED CUADRADO PARA EMBUTIR 22CM LUZ FRÍA 18W PACK X 2</v>
          </cell>
          <cell r="C488" t="str">
            <v>ILUMINACION</v>
          </cell>
          <cell r="D488" t="str">
            <v>PANELES LED</v>
          </cell>
        </row>
        <row r="489">
          <cell r="A489" t="str">
            <v>PC-E18F-ES-X4</v>
          </cell>
          <cell r="B489" t="str">
            <v>PANEL LED CUADRADO PARA EMBUTIR 22CM LUZ FRÍA 18W PACK X 4</v>
          </cell>
          <cell r="C489" t="str">
            <v>ILUMINACION</v>
          </cell>
          <cell r="D489" t="str">
            <v>PANELES LED</v>
          </cell>
        </row>
        <row r="490">
          <cell r="A490" t="str">
            <v>PC-E18F-ES-X6</v>
          </cell>
          <cell r="B490" t="str">
            <v>PANEL LED CUADRADO PARA EMBUTIR 22CM LUZ FRÍA 18W PACK X 6</v>
          </cell>
          <cell r="C490" t="str">
            <v>ILUMINACION</v>
          </cell>
          <cell r="D490" t="str">
            <v>PANELES LED</v>
          </cell>
        </row>
        <row r="491">
          <cell r="A491" t="str">
            <v>PC-E24F-ES</v>
          </cell>
          <cell r="B491" t="str">
            <v>PANEL LED CUADRADO PARA EMBUTIR 29CM LUZ FRÍA 24W</v>
          </cell>
          <cell r="C491" t="str">
            <v>ILUMINACION</v>
          </cell>
          <cell r="D491" t="str">
            <v>PANELES LED</v>
          </cell>
        </row>
        <row r="492">
          <cell r="A492" t="str">
            <v>PC-E24F-ES-X2</v>
          </cell>
          <cell r="B492" t="str">
            <v>PANEL LED CUADRADO PARA EMBUTIR 29CM LUZ FRÍA 24W PACK X 2</v>
          </cell>
          <cell r="C492" t="str">
            <v>ILUMINACION</v>
          </cell>
          <cell r="D492" t="str">
            <v>PANELES LED</v>
          </cell>
        </row>
        <row r="493">
          <cell r="A493" t="str">
            <v>PC-E24F-ES-X4</v>
          </cell>
          <cell r="B493" t="str">
            <v>PANEL LED CUADRADO PARA EMBUTIR 29CM LUZ FRÍA 24W PACK X 4</v>
          </cell>
          <cell r="C493" t="str">
            <v>ILUMINACION</v>
          </cell>
          <cell r="D493" t="str">
            <v>PANELES LED</v>
          </cell>
        </row>
        <row r="494">
          <cell r="A494" t="str">
            <v>PC-E24F-ES-X6</v>
          </cell>
          <cell r="B494" t="str">
            <v>PANEL LED CUADRADO PARA EMBUTIR 29CM LUZ FRÍA 24W PACK X 6</v>
          </cell>
          <cell r="C494" t="str">
            <v>ILUMINACION</v>
          </cell>
          <cell r="D494" t="str">
            <v>PANELES LED</v>
          </cell>
        </row>
        <row r="495">
          <cell r="A495" t="str">
            <v>PL-606040F-ES</v>
          </cell>
          <cell r="B495" t="str">
            <v>PANEL LED CUADRADO PARA EMBUTIR 60CM LUZ FRÍA 40W</v>
          </cell>
          <cell r="C495" t="str">
            <v>ILUMINACION</v>
          </cell>
          <cell r="D495" t="str">
            <v>PANELES LED</v>
          </cell>
        </row>
        <row r="496">
          <cell r="A496" t="str">
            <v>PR-A18F-ES</v>
          </cell>
          <cell r="B496" t="str">
            <v>PANEL LED REDONDO PARA APLICAR 20CM LUZ FRÍA 18W</v>
          </cell>
          <cell r="C496" t="str">
            <v>ILUMINACION</v>
          </cell>
          <cell r="D496" t="str">
            <v>PANELES LED</v>
          </cell>
        </row>
        <row r="497">
          <cell r="A497" t="str">
            <v>PR-A18F-ES-X2</v>
          </cell>
          <cell r="B497" t="str">
            <v>PANEL LED REDONDO PARA APLICAR 20CM LUZ FRÍA 18W PACK X 2</v>
          </cell>
          <cell r="C497" t="str">
            <v>ILUMINACION</v>
          </cell>
          <cell r="D497" t="str">
            <v>PANELES LED</v>
          </cell>
        </row>
        <row r="498">
          <cell r="A498" t="str">
            <v>PR-A18F-ES-X4</v>
          </cell>
          <cell r="B498" t="str">
            <v>PANEL LED REDONDO PARA APLICAR 20CM LUZ FRÍA 18W PACK X 4</v>
          </cell>
          <cell r="C498" t="str">
            <v>ILUMINACION</v>
          </cell>
          <cell r="D498" t="str">
            <v>PANELES LED</v>
          </cell>
        </row>
        <row r="499">
          <cell r="A499" t="str">
            <v>PR-A18F-ES-X6</v>
          </cell>
          <cell r="B499" t="str">
            <v>PANEL LED REDONDO PARA APLICAR 20CM LUZ FRÍA 18W PACK X 6</v>
          </cell>
          <cell r="C499" t="str">
            <v>ILUMINACION</v>
          </cell>
          <cell r="D499" t="str">
            <v>PANELES LED</v>
          </cell>
        </row>
        <row r="500">
          <cell r="A500" t="str">
            <v>PR-A24F-ES</v>
          </cell>
          <cell r="B500" t="str">
            <v>PANEL LED REDONDO PARA APLICAR 28CM LUZ FRÍA 24W</v>
          </cell>
          <cell r="C500" t="str">
            <v>ILUMINACION</v>
          </cell>
          <cell r="D500" t="str">
            <v>PANELES LED</v>
          </cell>
        </row>
        <row r="501">
          <cell r="A501" t="str">
            <v>PR-A24F-ES-X2</v>
          </cell>
          <cell r="B501" t="str">
            <v>PANEL LED REDONDO PARA APLICAR 28CM LUZ FRÍA 24W PACK X 2</v>
          </cell>
          <cell r="C501" t="str">
            <v>ILUMINACION</v>
          </cell>
          <cell r="D501" t="str">
            <v>PANELES LED</v>
          </cell>
        </row>
        <row r="502">
          <cell r="A502" t="str">
            <v>PR-A24F-ES-X4</v>
          </cell>
          <cell r="B502" t="str">
            <v>PANEL LED REDONDO PARA APLICAR 28CM LUZ FRÍA 24W PACK X 4</v>
          </cell>
          <cell r="C502" t="str">
            <v>ILUMINACION</v>
          </cell>
          <cell r="D502" t="str">
            <v>PANELES LED</v>
          </cell>
        </row>
        <row r="503">
          <cell r="A503" t="str">
            <v>PR-A24F-ES-X6</v>
          </cell>
          <cell r="B503" t="str">
            <v>PANEL LED REDONDO PARA APLICAR 28CM LUZ FRÍA 24W PACK X 6</v>
          </cell>
          <cell r="C503" t="str">
            <v>ILUMINACION</v>
          </cell>
          <cell r="D503" t="str">
            <v>PANELES LED</v>
          </cell>
        </row>
        <row r="504">
          <cell r="A504" t="str">
            <v>PR-E18F-ES</v>
          </cell>
          <cell r="B504" t="str">
            <v>PANEL LED REDONDO PARA EMBUTIR 22CM LUZ FRÍA 18W</v>
          </cell>
          <cell r="C504" t="str">
            <v>ILUMINACION</v>
          </cell>
          <cell r="D504" t="str">
            <v>PANELES LED</v>
          </cell>
        </row>
        <row r="505">
          <cell r="A505" t="str">
            <v>PR-E18F-ES-X2</v>
          </cell>
          <cell r="B505" t="str">
            <v>PANEL LED REDONDO PARA EMBUTIR 22CM LUZ FRÍA 18W PACK X 2</v>
          </cell>
          <cell r="C505" t="str">
            <v>ILUMINACION</v>
          </cell>
          <cell r="D505" t="str">
            <v>PANELES LED</v>
          </cell>
        </row>
        <row r="506">
          <cell r="A506" t="str">
            <v>PR-E18F-ES-X4</v>
          </cell>
          <cell r="B506" t="str">
            <v>PANEL LED REDONDO PARA EMBUTIR 22CM LUZ FRÍA 18W PACK X 4</v>
          </cell>
          <cell r="C506" t="str">
            <v>ILUMINACION</v>
          </cell>
          <cell r="D506" t="str">
            <v>PANELES LED</v>
          </cell>
        </row>
        <row r="507">
          <cell r="A507" t="str">
            <v>PR-E18F-ES-X6</v>
          </cell>
          <cell r="B507" t="str">
            <v>PANEL LED REDONDO PARA EMBUTIR 22CM LUZ FRÍA 18W PACK X 6</v>
          </cell>
          <cell r="C507" t="str">
            <v>ILUMINACION</v>
          </cell>
          <cell r="D507" t="str">
            <v>PANELES LED</v>
          </cell>
        </row>
        <row r="508">
          <cell r="A508" t="str">
            <v>PR-E24F-ES</v>
          </cell>
          <cell r="B508" t="str">
            <v>PANEL LED REDONDO PARA EMBUTIR 29CM LUZ FRÍA 24W</v>
          </cell>
          <cell r="C508" t="str">
            <v>ILUMINACION</v>
          </cell>
          <cell r="D508" t="str">
            <v>PANELES LED</v>
          </cell>
        </row>
        <row r="509">
          <cell r="A509" t="str">
            <v>PR-E24F-ES-X2</v>
          </cell>
          <cell r="B509" t="str">
            <v>PANEL LED REDONDO PARA EMBUTIR 29CM LUZ FRÍA 24W PACK X 2</v>
          </cell>
          <cell r="C509" t="str">
            <v>ILUMINACION</v>
          </cell>
          <cell r="D509" t="str">
            <v>PANELES LED</v>
          </cell>
        </row>
        <row r="510">
          <cell r="A510" t="str">
            <v>PR-E24F-ES-X4</v>
          </cell>
          <cell r="B510" t="str">
            <v>PANEL LED REDONDO PARA EMBUTIR 29CM LUZ FRÍA 24W PACK X 4</v>
          </cell>
          <cell r="C510" t="str">
            <v>ILUMINACION</v>
          </cell>
          <cell r="D510" t="str">
            <v>PANELES LED</v>
          </cell>
        </row>
        <row r="511">
          <cell r="A511" t="str">
            <v>PR-E24F-ES-X6</v>
          </cell>
          <cell r="B511" t="str">
            <v>PANEL LED REDONDO PARA EMBUTIR 29CM LUZ FRÍA 24W PACK X 6</v>
          </cell>
          <cell r="C511" t="str">
            <v>ILUMINACION</v>
          </cell>
          <cell r="D511" t="str">
            <v>PANELES LED</v>
          </cell>
        </row>
        <row r="512">
          <cell r="A512" t="str">
            <v>RE-100F-ES</v>
          </cell>
          <cell r="B512" t="str">
            <v>REFLECTOR EXTERIOR LED 100W LUZ FRÍA 8000 LUMENS IP65</v>
          </cell>
          <cell r="C512" t="str">
            <v>ILUMINACION</v>
          </cell>
          <cell r="D512" t="str">
            <v>REFLECTORES</v>
          </cell>
        </row>
        <row r="513">
          <cell r="A513" t="str">
            <v>RE-100F-ES-X2</v>
          </cell>
          <cell r="B513" t="str">
            <v>REFLECTOR EXTERIOR LED 100W LUZ FRÍA 8000 LUMENS IP65 PACK X 2</v>
          </cell>
          <cell r="C513" t="str">
            <v>ILUMINACION</v>
          </cell>
          <cell r="D513" t="str">
            <v>REFLECTORES</v>
          </cell>
        </row>
        <row r="514">
          <cell r="A514" t="str">
            <v>RE-100F-ES-X4</v>
          </cell>
          <cell r="B514" t="str">
            <v>REFLECTOR EXTERIOR LED 100W LUZ FRÍA 8000 LUMENS IP65 PACK X 4</v>
          </cell>
          <cell r="C514" t="str">
            <v>ILUMINACION</v>
          </cell>
          <cell r="D514" t="str">
            <v>REFLECTORES</v>
          </cell>
        </row>
        <row r="515">
          <cell r="A515" t="str">
            <v>RE-50F-ES</v>
          </cell>
          <cell r="B515" t="str">
            <v>REFLECTOR EXTERIOR LED 50W LUZ FRÍA 4000 LUMENS IP65</v>
          </cell>
          <cell r="C515" t="str">
            <v>ILUMINACION</v>
          </cell>
          <cell r="D515" t="str">
            <v>REFLECTORES</v>
          </cell>
        </row>
        <row r="516">
          <cell r="A516" t="str">
            <v>RE-50F-ES-X2</v>
          </cell>
          <cell r="B516" t="str">
            <v>REFLECTOR EXTERIOR LED 50W LUZ FRÍA 4000 LUMENS IP65 PACK X 2</v>
          </cell>
          <cell r="C516" t="str">
            <v>ILUMINACION</v>
          </cell>
          <cell r="D516" t="str">
            <v>REFLECTORES</v>
          </cell>
        </row>
        <row r="517">
          <cell r="A517" t="str">
            <v>RE-50F-ES-X4</v>
          </cell>
          <cell r="B517" t="str">
            <v>REFLECTOR EXTERIOR LED 50W LUZ FRÍA 4000 LUMENS IP65 PACK X 4</v>
          </cell>
          <cell r="C517" t="str">
            <v>ILUMINACION</v>
          </cell>
          <cell r="D517" t="str">
            <v>REFLECTORES</v>
          </cell>
        </row>
        <row r="518">
          <cell r="A518" t="str">
            <v>AOR88A</v>
          </cell>
          <cell r="B518" t="str">
            <v>AUTO A CONTROL REMOTO TODO TERRENO COLOR AMARILLO</v>
          </cell>
          <cell r="C518" t="str">
            <v>JUGUETES</v>
          </cell>
          <cell r="D518" t="str">
            <v>AUTOS A CONTROL REMOTO</v>
          </cell>
        </row>
        <row r="519">
          <cell r="A519" t="str">
            <v>AOR88V</v>
          </cell>
          <cell r="B519" t="str">
            <v>AUTO A CONTROL REMOTO TODO TERRENO COLOR VERDE</v>
          </cell>
          <cell r="C519" t="str">
            <v>JUGUETES</v>
          </cell>
          <cell r="D519" t="str">
            <v>AUTOS A CONTROL REMOTO</v>
          </cell>
        </row>
        <row r="520">
          <cell r="A520" t="str">
            <v>AOR90A</v>
          </cell>
          <cell r="B520" t="str">
            <v>AUTO A CONTROL REMOTO TODO TERRENO TIPO PICK-UP COLOR AMARILLO</v>
          </cell>
          <cell r="C520" t="str">
            <v>JUGUETES</v>
          </cell>
          <cell r="D520" t="str">
            <v>AUTOS A CONTROL REMOTO</v>
          </cell>
        </row>
        <row r="521">
          <cell r="A521" t="str">
            <v>AOR90R</v>
          </cell>
          <cell r="B521" t="str">
            <v>AUTO A CONTROL REMOTO TODO TERRENO TIPO PICK-UP COLOR ROJO</v>
          </cell>
          <cell r="C521" t="str">
            <v>JUGUETES</v>
          </cell>
          <cell r="D521" t="str">
            <v>AUTOS A CONTROL REMOTO</v>
          </cell>
        </row>
        <row r="522">
          <cell r="A522" t="str">
            <v>ETY0040P</v>
          </cell>
          <cell r="B522" t="str">
            <v>PISTOLA BURBUJAS ROSA ROCKET BUBBLE GUM</v>
          </cell>
          <cell r="C522" t="str">
            <v>JUGUETES</v>
          </cell>
          <cell r="D522" t="str">
            <v>PISTOLAS DE BURBUJAS</v>
          </cell>
        </row>
        <row r="523">
          <cell r="A523" t="str">
            <v>ETY0041V</v>
          </cell>
          <cell r="B523" t="str">
            <v>PISTOLA BURBUJAS VIOLETA ROCKET BUBBLE GUM</v>
          </cell>
          <cell r="C523" t="str">
            <v>JUGUETES</v>
          </cell>
          <cell r="D523" t="str">
            <v>PISTOLAS DE BURBUJAS</v>
          </cell>
        </row>
        <row r="524">
          <cell r="A524" t="str">
            <v>ETY0042B</v>
          </cell>
          <cell r="B524" t="str">
            <v>PISTOLA BURBUJAS AZUL ROCKET BUBBLE GUM</v>
          </cell>
          <cell r="C524" t="str">
            <v>JUGUETES</v>
          </cell>
          <cell r="D524" t="str">
            <v>PISTOLAS DE BURBUJAS</v>
          </cell>
        </row>
        <row r="525">
          <cell r="A525" t="str">
            <v>TYPA500A</v>
          </cell>
          <cell r="B525" t="str">
            <v>PISTOLA DE AGUA ELÉCTRICA COLOR AZUL</v>
          </cell>
          <cell r="C525" t="str">
            <v>JUGUETES</v>
          </cell>
          <cell r="D525" t="str">
            <v>PISTOLAS DE AGUA</v>
          </cell>
        </row>
        <row r="526">
          <cell r="A526" t="str">
            <v>TYPA500G</v>
          </cell>
          <cell r="B526" t="str">
            <v>PISTOLA DE AGUA ELÉCTRICA COLOR GRIS</v>
          </cell>
          <cell r="C526" t="str">
            <v>JUGUETES</v>
          </cell>
          <cell r="D526" t="str">
            <v>PISTOLAS DE AGUA</v>
          </cell>
        </row>
        <row r="527">
          <cell r="A527" t="str">
            <v>TYPA700A</v>
          </cell>
          <cell r="B527" t="str">
            <v>PISTOLA DE AGUA ELÉCTRICA TIPO RIFLE COLOR AZUL</v>
          </cell>
          <cell r="C527" t="str">
            <v>JUGUETES</v>
          </cell>
          <cell r="D527" t="str">
            <v>PISTOLAS DE AGUA</v>
          </cell>
        </row>
        <row r="528">
          <cell r="A528" t="str">
            <v>TYPA700G</v>
          </cell>
          <cell r="B528" t="str">
            <v>PISTOLA DE AGUA ELÉCTRICA TIPO RIFLE COLOR GRIS</v>
          </cell>
          <cell r="C528" t="str">
            <v>JUGUETES</v>
          </cell>
          <cell r="D528" t="str">
            <v>PISTOLAS DE AGUA</v>
          </cell>
        </row>
        <row r="529">
          <cell r="A529" t="str">
            <v>LPT-006D</v>
          </cell>
          <cell r="B529" t="str">
            <v>LICUADORA PERSONAL 0.6 LITROS DORADA</v>
          </cell>
          <cell r="C529" t="str">
            <v>PEQUEÑOS ELECTRO</v>
          </cell>
          <cell r="D529" t="str">
            <v>LICUADORAS</v>
          </cell>
        </row>
        <row r="530">
          <cell r="A530" t="str">
            <v>LPT-006V</v>
          </cell>
          <cell r="B530" t="str">
            <v>LICUADORA PERSONAL 0.6 LITROS VERDE</v>
          </cell>
          <cell r="C530" t="str">
            <v>PEQUEÑOS ELECTRO</v>
          </cell>
          <cell r="D530" t="str">
            <v>LICUADORAS</v>
          </cell>
        </row>
        <row r="531">
          <cell r="A531" t="str">
            <v>MCT-100</v>
          </cell>
          <cell r="B531" t="str">
            <v>MÁQUINA DE COSER MINI PORTÁTIL TIVOLI 2 VELOCIDADES</v>
          </cell>
          <cell r="C531" t="str">
            <v>HOGAR</v>
          </cell>
          <cell r="D531" t="str">
            <v>MAQUINA DE COSER</v>
          </cell>
        </row>
        <row r="532">
          <cell r="A532" t="str">
            <v>MCT-200</v>
          </cell>
          <cell r="B532" t="str">
            <v>MÁQUINA DE COSER TIVOLI 16 PUNTADAS</v>
          </cell>
          <cell r="C532" t="str">
            <v>HOGAR</v>
          </cell>
          <cell r="D532" t="str">
            <v>MAQUINA DE COSER</v>
          </cell>
        </row>
        <row r="533">
          <cell r="A533" t="str">
            <v>MMT-020B</v>
          </cell>
          <cell r="B533" t="str">
            <v>MICROONDAS MECANICO TIVOLI 700W 20L BLANCO</v>
          </cell>
          <cell r="C533" t="str">
            <v>PEQUEÑOS ELECTRO</v>
          </cell>
          <cell r="D533" t="str">
            <v>MICROONDAS</v>
          </cell>
        </row>
        <row r="534">
          <cell r="A534" t="str">
            <v>PBT-108</v>
          </cell>
          <cell r="B534" t="str">
            <v>PARLANTE BLUETOOTH TIVOLI 8" 2500W</v>
          </cell>
          <cell r="C534" t="str">
            <v>AUDIO</v>
          </cell>
          <cell r="D534" t="str">
            <v>PARLANTES PORTATILES</v>
          </cell>
        </row>
        <row r="535">
          <cell r="A535" t="str">
            <v>PBT-112</v>
          </cell>
          <cell r="B535" t="str">
            <v>PARLANTE BLUETOOTH TIVOLI 12" 6000W</v>
          </cell>
          <cell r="C535" t="str">
            <v>AUDIO</v>
          </cell>
          <cell r="D535" t="str">
            <v>PARLANTES PORTATILES</v>
          </cell>
        </row>
        <row r="536">
          <cell r="A536" t="str">
            <v>PBT-115</v>
          </cell>
          <cell r="B536" t="str">
            <v>PARLANTE BLUETOOTH TIVOLI 15" 7000W</v>
          </cell>
          <cell r="C536" t="str">
            <v>AUDIO</v>
          </cell>
          <cell r="D536" t="str">
            <v>PARLANTES PORTATILES</v>
          </cell>
        </row>
        <row r="537">
          <cell r="A537" t="str">
            <v>TAC-22PCS</v>
          </cell>
          <cell r="B537" t="str">
            <v>SET DE SELLOS P7 CARNE TIVOLI TAC-22PCS</v>
          </cell>
          <cell r="C537" t="str">
            <v>PEQUEÑOS ELECTRO</v>
          </cell>
          <cell r="D537" t="str">
            <v>PARRILLAS</v>
          </cell>
        </row>
        <row r="538">
          <cell r="A538" t="str">
            <v>PGT-200N</v>
          </cell>
          <cell r="B538" t="str">
            <v>PARRILLA GRILL DOBLE TIVOLI - SOLO MOVER LO DE FULL</v>
          </cell>
          <cell r="C538" t="str">
            <v>PEQUEÑOS ELECTRO</v>
          </cell>
          <cell r="D538" t="str">
            <v>PARRILLAS</v>
          </cell>
        </row>
        <row r="539">
          <cell r="A539" t="str">
            <v>RET-150B</v>
          </cell>
          <cell r="B539" t="str">
            <v>RALLADOR ELÉCTRICO TIVOLI 5 CUCHILLAS</v>
          </cell>
          <cell r="C539" t="str">
            <v>PEQUEÑOS ELECTRO</v>
          </cell>
          <cell r="D539" t="str">
            <v>RALLADORES</v>
          </cell>
        </row>
        <row r="540">
          <cell r="A540" t="str">
            <v>BZT-180N</v>
          </cell>
          <cell r="B540" t="str">
            <v>BALANZA DIGITAL TIVOLI 180KG BLUETOOTH SENSOR TEMPERATURA</v>
          </cell>
          <cell r="C540" t="str">
            <v>BIENESTAR</v>
          </cell>
          <cell r="D540" t="str">
            <v>BALANZAS</v>
          </cell>
        </row>
        <row r="541">
          <cell r="A541" t="str">
            <v>MJT-003N</v>
          </cell>
          <cell r="B541" t="str">
            <v>MASAJEADOR DE CUELLO Y HOMBROS TIVOLI</v>
          </cell>
          <cell r="C541" t="str">
            <v>BIENESTAR</v>
          </cell>
          <cell r="D541" t="str">
            <v>MASAJEADORES</v>
          </cell>
        </row>
        <row r="542">
          <cell r="A542" t="str">
            <v>MJT-204N</v>
          </cell>
          <cell r="B542" t="str">
            <v>MASAJEADOR DE CUELLO Y HOMBROS 30W</v>
          </cell>
          <cell r="C542" t="str">
            <v>BIENESTAR</v>
          </cell>
          <cell r="D542" t="str">
            <v>MASAJEADORES</v>
          </cell>
        </row>
        <row r="543">
          <cell r="A543" t="str">
            <v>MJT-205P</v>
          </cell>
          <cell r="B543" t="str">
            <v>PISTOLA MASAJEADORA  8W - HASTA ENGANCHAR</v>
          </cell>
          <cell r="C543" t="str">
            <v>BIENESTAR</v>
          </cell>
          <cell r="D543" t="str">
            <v>MASAJEADORES</v>
          </cell>
        </row>
        <row r="544">
          <cell r="A544" t="str">
            <v>MJT-206M</v>
          </cell>
          <cell r="B544" t="str">
            <v>MASAJEADOR MANUAL MULTIUSO 25W</v>
          </cell>
          <cell r="C544" t="str">
            <v>BIENESTAR</v>
          </cell>
          <cell r="D544" t="str">
            <v>MASAJEADORES</v>
          </cell>
        </row>
        <row r="545">
          <cell r="A545" t="str">
            <v>MJT-207L</v>
          </cell>
          <cell r="B545" t="str">
            <v>MASAJEADOR LUMBAR 24W</v>
          </cell>
          <cell r="C545" t="str">
            <v>BIENESTAR</v>
          </cell>
          <cell r="D545" t="str">
            <v>MASAJEADORES</v>
          </cell>
        </row>
        <row r="546">
          <cell r="A546" t="str">
            <v>SAR-145A</v>
          </cell>
          <cell r="B546" t="str">
            <v>SET DE ARTE 145 PIEZAS AZUL ASTRONAUTA</v>
          </cell>
          <cell r="C546" t="str">
            <v>UTILES</v>
          </cell>
          <cell r="D546" t="str">
            <v>SET ARTE</v>
          </cell>
        </row>
        <row r="547">
          <cell r="A547" t="str">
            <v>SAR-145R</v>
          </cell>
          <cell r="B547" t="str">
            <v>SET DE ARTE 145 PIEZAS ROSA NENAS</v>
          </cell>
          <cell r="C547" t="str">
            <v>UTILES</v>
          </cell>
          <cell r="D547" t="str">
            <v>SET ARTE</v>
          </cell>
        </row>
        <row r="548">
          <cell r="A548" t="str">
            <v>SAR-145A-SE</v>
          </cell>
          <cell r="B548" t="str">
            <v>SET DE ARTE 145 PIEZAS AZUL ASTRONAUTA SIN ENVÍO</v>
          </cell>
          <cell r="C548" t="str">
            <v>UTILES</v>
          </cell>
          <cell r="D548" t="str">
            <v>SET ARTE</v>
          </cell>
        </row>
        <row r="549">
          <cell r="A549" t="str">
            <v>SAR-145R-SE</v>
          </cell>
          <cell r="B549" t="str">
            <v>SET DE ARTE 145 PIEZAS ROSA NENAS SIN ENVÍO</v>
          </cell>
          <cell r="C549" t="str">
            <v>UTILES</v>
          </cell>
          <cell r="D549" t="str">
            <v>SET ARTE</v>
          </cell>
        </row>
        <row r="550">
          <cell r="A550" t="str">
            <v>MCBT-103</v>
          </cell>
          <cell r="B550" t="str">
            <v>MÁQUINA CONTADORA DE BILLETES TIVOLI</v>
          </cell>
          <cell r="C550" t="str">
            <v>VARIOS</v>
          </cell>
          <cell r="D550" t="str">
            <v>OFICINA</v>
          </cell>
        </row>
        <row r="551">
          <cell r="A551" t="str">
            <v>CJFT-101</v>
          </cell>
          <cell r="B551" t="str">
            <v>CAJA FUERTE DE SEGURIDAD ELECTRÓNICA TIVOLI</v>
          </cell>
          <cell r="C551" t="str">
            <v>VARIOS</v>
          </cell>
          <cell r="D551" t="str">
            <v>SEGURIDAD</v>
          </cell>
        </row>
        <row r="552">
          <cell r="A552" t="str">
            <v>ABS-250</v>
          </cell>
          <cell r="B552" t="str">
            <v>EJERCITADOR ABDOMINALES SUZUKI TIME ABS-250</v>
          </cell>
          <cell r="C552" t="str">
            <v>VARIOS</v>
          </cell>
          <cell r="D552" t="str">
            <v>FITNESS</v>
          </cell>
        </row>
        <row r="553">
          <cell r="A553" t="str">
            <v>LAT-10A</v>
          </cell>
          <cell r="B553" t="str">
            <v>LIMPIADOR LENTES TIVOLI LAT-10</v>
          </cell>
          <cell r="C553" t="str">
            <v>VARIOS</v>
          </cell>
          <cell r="D553" t="str">
            <v>ACCESORIOS</v>
          </cell>
        </row>
        <row r="554">
          <cell r="A554" t="str">
            <v>LAT-10B</v>
          </cell>
          <cell r="B554" t="str">
            <v>LIMPIADOR LENTES TIVOLI LAT-10</v>
          </cell>
          <cell r="C554" t="str">
            <v>VARIOS</v>
          </cell>
          <cell r="D554" t="str">
            <v>ACCESORIOS</v>
          </cell>
        </row>
        <row r="555">
          <cell r="A555" t="str">
            <v>LAT-10N</v>
          </cell>
          <cell r="B555" t="str">
            <v>LIMPIADOR LENTES TIVOLI LAT-10</v>
          </cell>
          <cell r="C555" t="str">
            <v>VARIOS</v>
          </cell>
          <cell r="D555" t="str">
            <v>ACCESORIOS</v>
          </cell>
        </row>
        <row r="556">
          <cell r="A556" t="str">
            <v>LAT-10R</v>
          </cell>
          <cell r="B556" t="str">
            <v>LIMPIADOR LENTES TIVOLI LAT-10</v>
          </cell>
          <cell r="C556" t="str">
            <v>VARIOS</v>
          </cell>
          <cell r="D556" t="str">
            <v>ACCESORIOS</v>
          </cell>
        </row>
        <row r="557">
          <cell r="A557" t="str">
            <v>LAT-10V</v>
          </cell>
          <cell r="B557" t="str">
            <v>LIMPIADOR LENTES TIVOLI LAT-10</v>
          </cell>
          <cell r="C557" t="str">
            <v>VARIOS</v>
          </cell>
          <cell r="D557" t="str">
            <v>ACCESORIOS</v>
          </cell>
        </row>
        <row r="558">
          <cell r="A558" t="str">
            <v>GS1G</v>
          </cell>
          <cell r="B558" t="str">
            <v>VENTILADOR PORTATIL 59MM GRIS</v>
          </cell>
          <cell r="C558" t="str">
            <v>CLIMATIZACION</v>
          </cell>
          <cell r="D558" t="str">
            <v>VENTILADORES</v>
          </cell>
        </row>
        <row r="559">
          <cell r="A559" t="str">
            <v>GS1B</v>
          </cell>
          <cell r="B559" t="str">
            <v>VENTILADOR PORTATIL 59MM BLANCO</v>
          </cell>
          <cell r="C559" t="str">
            <v>CLIMATIZACION</v>
          </cell>
          <cell r="D559" t="str">
            <v>VENTILADORES</v>
          </cell>
        </row>
        <row r="560">
          <cell r="A560" t="str">
            <v>GS3</v>
          </cell>
          <cell r="B560" t="str">
            <v>VENTILADOR PORTATIL 42MM</v>
          </cell>
          <cell r="C560" t="str">
            <v>CLIMATIZACION</v>
          </cell>
          <cell r="D560" t="str">
            <v>VENTILADORES</v>
          </cell>
        </row>
        <row r="561">
          <cell r="A561" t="str">
            <v>VPA-318</v>
          </cell>
          <cell r="B561" t="str">
            <v>VENTILADOR TIVOLI 3 EN 1 (PIE, PISO Y PARED)</v>
          </cell>
          <cell r="C561" t="str">
            <v>CLIMATIZACION</v>
          </cell>
          <cell r="D561" t="str">
            <v>VENTILADORES</v>
          </cell>
        </row>
        <row r="562">
          <cell r="A562" t="str">
            <v>VPE-20ES</v>
          </cell>
          <cell r="B562" t="str">
            <v>VENTILADOR DE PIE ENERGY SAFE 20" (50CM) 100W</v>
          </cell>
          <cell r="C562" t="str">
            <v>CLIMATIZACION</v>
          </cell>
          <cell r="D562" t="str">
            <v>VENTILADORES</v>
          </cell>
        </row>
        <row r="563">
          <cell r="A563" t="str">
            <v>VPE-318ES</v>
          </cell>
          <cell r="B563" t="str">
            <v>VENTILADOR DE PIE ENERGY SAFE 18” 3 EN 1 80W</v>
          </cell>
          <cell r="C563" t="str">
            <v>CLIMATIZACION</v>
          </cell>
          <cell r="D563" t="str">
            <v>VENTILADORES</v>
          </cell>
        </row>
        <row r="564">
          <cell r="A564" t="str">
            <v>VPO-205</v>
          </cell>
          <cell r="B564" t="str">
            <v>VENTILADOR DE PIE TIVOLI VPO-205</v>
          </cell>
          <cell r="C564" t="str">
            <v>CLIMATIZACION</v>
          </cell>
          <cell r="D564" t="str">
            <v>VENTILADORES</v>
          </cell>
        </row>
        <row r="565">
          <cell r="A565" t="str">
            <v>VTA-20</v>
          </cell>
          <cell r="B565" t="str">
            <v>VENTILADOR TURBO INDUSTRIAL TIVOLI</v>
          </cell>
          <cell r="C565" t="str">
            <v>CLIMATIZACION</v>
          </cell>
          <cell r="D565" t="str">
            <v>VENTILADORES</v>
          </cell>
        </row>
        <row r="566">
          <cell r="A566" t="str">
            <v>VTE-18ES</v>
          </cell>
          <cell r="B566" t="str">
            <v>VENTILADOR TURBO ENERGY SAFE 18” (45CM) 120W</v>
          </cell>
          <cell r="C566" t="str">
            <v>CLIMATIZACION</v>
          </cell>
          <cell r="D566" t="str">
            <v>VENTILADORES</v>
          </cell>
        </row>
        <row r="567">
          <cell r="A567" t="str">
            <v>YGT-015B</v>
          </cell>
          <cell r="B567" t="str">
            <v>YOGURTERA ELÉCTRICA TIVOLI 1,2L 7 FRASCOS DE 180ML</v>
          </cell>
          <cell r="C567" t="str">
            <v>PEQUEÑOS ELECTRO</v>
          </cell>
          <cell r="D567" t="str">
            <v>YOGURTERA</v>
          </cell>
        </row>
        <row r="568">
          <cell r="A568" t="str">
            <v>YGT-D10B</v>
          </cell>
          <cell r="B568" t="str">
            <v>YOGURTERA ELÉCTRICA DIGITAL TIVOLI 1,2L 7 FRASCOS DE 180ML</v>
          </cell>
          <cell r="C568" t="str">
            <v>PEQUEÑOS ELECTRO</v>
          </cell>
          <cell r="D568" t="str">
            <v>YOGURTERA</v>
          </cell>
        </row>
        <row r="569">
          <cell r="A569" t="str">
            <v>AVA-BT601C</v>
          </cell>
          <cell r="B569" t="str">
            <v>AURICULAR VINCHA AVA-601C</v>
          </cell>
          <cell r="C569" t="str">
            <v>AUDIO</v>
          </cell>
          <cell r="D569" t="str">
            <v>AURICULARES</v>
          </cell>
        </row>
        <row r="570">
          <cell r="A570" t="str">
            <v>TWA-70N</v>
          </cell>
          <cell r="B570" t="str">
            <v>AURICULAR IN EAR TWA-70N</v>
          </cell>
          <cell r="C570" t="str">
            <v>AUDIO</v>
          </cell>
          <cell r="D570" t="str">
            <v>AURICULARES</v>
          </cell>
        </row>
        <row r="571">
          <cell r="A571" t="str">
            <v>YGT-D21B</v>
          </cell>
          <cell r="B571" t="str">
            <v>YOGURTERA ELÉCTRICA DIGITAL TIVOLI 1,2L 7 FRASCOS DE 180ML</v>
          </cell>
          <cell r="C571" t="str">
            <v>PEQUEÑOS ELECTRO</v>
          </cell>
          <cell r="D571" t="str">
            <v>YOGURTERA</v>
          </cell>
        </row>
        <row r="572">
          <cell r="A572" t="str">
            <v>AWK-EL302N</v>
          </cell>
          <cell r="B572" t="str">
            <v>ESPUMADOR DE LECHE AIWA COOK 300ML 4 NIVELES 500W</v>
          </cell>
          <cell r="C572" t="str">
            <v>PEQUEÑOS ELECTRO</v>
          </cell>
          <cell r="D572" t="str">
            <v>CAFETERAS</v>
          </cell>
        </row>
        <row r="573">
          <cell r="A573" t="str">
            <v>AW-T381</v>
          </cell>
          <cell r="B573" t="str">
            <v>PARLANTE BT TORRE 8x3</v>
          </cell>
          <cell r="C573" t="str">
            <v>AUDIO</v>
          </cell>
          <cell r="D573" t="str">
            <v>PARLANTES PORTATILES</v>
          </cell>
        </row>
        <row r="574">
          <cell r="A574" t="str">
            <v>AWK-YD08</v>
          </cell>
          <cell r="B574" t="str">
            <v xml:space="preserve">Yogurtera Eléctrica 8 Frascos </v>
          </cell>
          <cell r="C574" t="str">
            <v>PEQUEÑOS ELECTRO</v>
          </cell>
          <cell r="D574" t="str">
            <v>YOGURTERA</v>
          </cell>
        </row>
        <row r="575">
          <cell r="A575" t="str">
            <v>AW-T380</v>
          </cell>
          <cell r="B575" t="str">
            <v>PARLANTE BT TORRE 8x2</v>
          </cell>
          <cell r="C575" t="str">
            <v>AUDIO</v>
          </cell>
          <cell r="D575" t="str">
            <v>PARLANTES PORTATILES</v>
          </cell>
        </row>
        <row r="576">
          <cell r="A576" t="str">
            <v>TWA-100N</v>
          </cell>
          <cell r="B576" t="str">
            <v>AURICULAR IN EAR TWA-100N</v>
          </cell>
          <cell r="C576" t="str">
            <v>AUDIO</v>
          </cell>
          <cell r="D576" t="str">
            <v>AURICULARES</v>
          </cell>
        </row>
        <row r="577">
          <cell r="A577" t="str">
            <v>AW-P240D</v>
          </cell>
          <cell r="B577" t="str">
            <v>PARLANTE BT PORTATIL AW-P240D</v>
          </cell>
          <cell r="C577" t="str">
            <v>AUDIO</v>
          </cell>
          <cell r="D577" t="str">
            <v>PARLANTES PORTATILES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5" xr16:uid="{E8A56E19-8882-4B21-81B5-D7EF3A059B54}" autoFormatId="16" applyNumberFormats="0" applyBorderFormats="0" applyFontFormats="0" applyPatternFormats="0" applyAlignmentFormats="0" applyWidthHeightFormats="0">
  <queryTableRefresh nextId="615">
    <queryTableFields count="19">
      <queryTableField id="606" name="EAN" tableColumnId="18"/>
      <queryTableField id="582" dataBound="0" tableColumnId="12"/>
      <queryTableField id="419" name="INDICE DIGITAL" tableColumnId="49"/>
      <queryTableField id="1" name="CODIGO" tableColumnId="1"/>
      <queryTableField id="577" name="DESCRIPCION" tableColumnId="8"/>
      <queryTableField id="4" name="CATEGORIA" tableColumnId="4"/>
      <queryTableField id="575" dataBound="0" tableColumnId="36"/>
      <queryTableField id="587" name="ACTIVADO" tableColumnId="5"/>
      <queryTableField id="530" name="SUB_CATEGORIA" tableColumnId="2"/>
      <queryTableField id="6" name="MARCA" tableColumnId="6"/>
      <queryTableField id="585" name="TRANSITO" tableColumnId="3"/>
      <queryTableField id="596" name="DISPONIBLE GRAL" tableColumnId="9"/>
      <queryTableField id="534" name="DISPONIBLE FULLFILL" tableColumnId="10"/>
      <queryTableField id="597" name="STOCK GRAL" tableColumnId="11"/>
      <queryTableField id="598" name="STOCK DIGITAL" tableColumnId="15"/>
      <queryTableField id="599" name="STOCK FULLFILL" tableColumnId="16"/>
      <queryTableField id="20" name="ADUANA" tableColumnId="20"/>
      <queryTableField id="21" name="FECHA INGRESO ESTIMADA" tableColumnId="21"/>
      <queryTableField id="22" name="PROXIMO INGRESO ESTIMADO" tableColumnId="22"/>
    </queryTableFields>
    <queryTableDeletedFields count="6">
      <deletedField name="PROY.12 MESES"/>
      <deletedField name="PROY.12 MESES"/>
      <deletedField name="VTA ULTIMA SEMANA"/>
      <deletedField name="VTA ULTIMO MES"/>
      <deletedField name="VTA ULTIMOS 6 MESES"/>
      <deletedField name="VTA ULTIMO AÑ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2A2AEE1-75B3-47CE-B517-0E73F11D5468}" autoFormatId="16" applyNumberFormats="0" applyBorderFormats="0" applyFontFormats="0" applyPatternFormats="0" applyAlignmentFormats="0" applyWidthHeightFormats="0">
  <queryTableRefresh nextId="2">
    <queryTableFields count="1">
      <queryTableField id="1" name="Fecha" tableColumnId="1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0E78BA11-542A-4181-9739-8680959713F7}" sourceName="CATEGORIA">
  <extLst>
    <x:ext xmlns:x15="http://schemas.microsoft.com/office/spreadsheetml/2010/11/main" uri="{2F2917AC-EB37-4324-AD4E-5DD8C200BD13}">
      <x15:tableSlicerCache tableId="1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_PI" xr10:uid="{DEEF3BE3-F96D-4EC9-8166-E17F4F7B3CF9}" sourceName="CON PI">
  <extLst>
    <x:ext xmlns:x15="http://schemas.microsoft.com/office/spreadsheetml/2010/11/main" uri="{2F2917AC-EB37-4324-AD4E-5DD8C200BD13}">
      <x15:tableSlicerCache tableId="1" column="1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ADO" xr10:uid="{199A300F-7A49-4E4C-AFC6-BD456E2298D8}" sourceName="ACTIVADO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ED50F33-A84B-454D-A532-2C1EB3613ACF}" cache="SegmentaciónDeDatos_CATEGORIA" caption="CATEGORIA" rowHeight="144000"/>
  <slicer name="CON PI" xr10:uid="{11E2FE13-AC80-4CE6-805F-BC098F7B1C44}" cache="SegmentaciónDeDatos_CON_PI" caption="CON PI" columnCount="2" rowHeight="216000"/>
  <slicer name="ACTIVADO" xr10:uid="{40110604-403D-42DF-B0F2-59C934C6D006}" cache="SegmentaciónDeDatos_ACTIVADO" caption="ACTIVADO" rowHeight="144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9DEAA-7969-4DFF-9DC3-3A4A265D10AF}" name="SITUACION_COMPLETO" displayName="SITUACION_COMPLETO" ref="A7:S177" tableType="queryTable" totalsRowShown="0" headerRowDxfId="18" headerRowBorderDxfId="17">
  <autoFilter ref="A7:S177" xr:uid="{E5C9DEAA-7969-4DFF-9DC3-3A4A265D10AF}"/>
  <tableColumns count="19">
    <tableColumn id="18" xr3:uid="{4CF7A5AF-7BF3-4076-85AD-CE1E01826C7A}" uniqueName="18" name="EAN" queryTableFieldId="606" dataDxfId="16"/>
    <tableColumn id="12" xr3:uid="{AC2F779E-7805-45A9-BD71-9BB97DDCB128}" uniqueName="12" name="CON PI" queryTableFieldId="582" dataDxfId="15">
      <calculatedColumnFormula>IF(SITUACION_COMPLETO[[#This Row],[PROXIMO INGRESO ESTIMADO]]&gt;0,"SI","NO")</calculatedColumnFormula>
    </tableColumn>
    <tableColumn id="49" xr3:uid="{D35B894D-BED2-4816-A270-335E5BDA6022}" uniqueName="49" name="INDICE DIGITAL" queryTableFieldId="419"/>
    <tableColumn id="1" xr3:uid="{4658952A-32FB-4FEB-976B-A4032C0EDB32}" uniqueName="1" name="CODIGO" queryTableFieldId="1" dataDxfId="14"/>
    <tableColumn id="8" xr3:uid="{76609FB1-3F55-4BB8-B5B2-A76F8BAA776A}" uniqueName="8" name="DESCRIPCION" queryTableFieldId="577" dataDxfId="13"/>
    <tableColumn id="4" xr3:uid="{7093B798-726B-404B-9EA5-5BC72CEDD5F6}" uniqueName="4" name="CATEGORIA" queryTableFieldId="4" dataDxfId="12"/>
    <tableColumn id="36" xr3:uid="{1861519A-99DF-4CF1-8C69-94BB39C1D874}" uniqueName="36" name="DIAS STOCK" queryTableFieldId="575" dataDxfId="11">
      <calculatedColumnFormula>IF(SITUACION_COMPLETO[[#This Row],[DISPONIBLE GRAL]]&lt;5,"QUIEBRE",IFERROR(MAX(ROUND(SITUACION_COMPLETO[[#This Row],[DISPONIBLE GRAL]]/SITUACION_COMPLETO[[#This Row],[INDICE DIGITAL]],0),0),"SIN VENTA"))</calculatedColumnFormula>
    </tableColumn>
    <tableColumn id="5" xr3:uid="{C7533564-0525-4A57-95A1-FDC0CF14CCA2}" uniqueName="5" name="ACTIVADO" queryTableFieldId="587" dataDxfId="10"/>
    <tableColumn id="2" xr3:uid="{3D7E0504-7245-4A4B-AB25-90AC3550621B}" uniqueName="2" name="SUB_CATEGORIA" queryTableFieldId="530" dataDxfId="9"/>
    <tableColumn id="6" xr3:uid="{D17DD209-ED84-4ED0-B08C-E802ABC115AF}" uniqueName="6" name="MARCA" queryTableFieldId="6" dataDxfId="8"/>
    <tableColumn id="3" xr3:uid="{12935E3B-A4CB-4301-807D-F62D09FAC2AE}" uniqueName="3" name="TRANSITO" queryTableFieldId="585"/>
    <tableColumn id="9" xr3:uid="{85CAE96A-8506-4B09-9F3A-B3DE8129BCBB}" uniqueName="9" name="DISPONIBLE GRAL" queryTableFieldId="596"/>
    <tableColumn id="10" xr3:uid="{D9B81BAF-B7CA-47CE-B554-E57C80A26345}" uniqueName="10" name="DISPONIBLE FULLFILL" queryTableFieldId="534" dataDxfId="7"/>
    <tableColumn id="11" xr3:uid="{A6D87D6D-562D-4EA3-BBB9-A6B7FE3658F6}" uniqueName="11" name="STOCK GRAL" queryTableFieldId="597"/>
    <tableColumn id="15" xr3:uid="{D3F8A0C7-E14A-4711-B3AB-38443530F31B}" uniqueName="15" name="STOCK DIGITAL" queryTableFieldId="598"/>
    <tableColumn id="16" xr3:uid="{9B49645D-508B-4F05-9707-9169D4E17557}" uniqueName="16" name="STOCK FULLFILL" queryTableFieldId="599"/>
    <tableColumn id="20" xr3:uid="{ADD8C25B-A20D-455D-8820-3616E42C754A}" uniqueName="20" name="ADUANA" queryTableFieldId="20" dataDxfId="6"/>
    <tableColumn id="21" xr3:uid="{168086FD-B4A1-4935-9C22-7E3C2E3900E4}" uniqueName="21" name="FECHA INGRESO ESTIMADA" queryTableFieldId="21" dataDxfId="5"/>
    <tableColumn id="22" xr3:uid="{C4B4F5CC-BC60-450F-8EEA-67386CEA6FC2}" uniqueName="22" name="PROXIMO INGRESO ESTIMADO" queryTableFieldId="22" dataDxfId="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11693F-CEFC-4F37-9C49-A25F63BA0AD9}" name="FECHA_ACTUALIZACION34" displayName="FECHA_ACTUALIZACION34" ref="D4:D5" headerRowCount="0" totalsRowShown="0" headerRowDxfId="3" dataDxfId="2" tableBorderDxfId="1">
  <tableColumns count="1">
    <tableColumn id="1" xr3:uid="{D223B542-A649-4B6C-909D-67D8E3113570}" name="ACTUALIZACION" dataDxfId="0">
      <calculatedColumnFormula array="1">F_ACTUALIZACION[Fecha]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EA84FB-4C83-4B87-9AFE-209F25DD5194}" name="Tabla3" displayName="Tabla3" ref="A1:C13" totalsRowShown="0">
  <autoFilter ref="A1:C13" xr:uid="{96EA84FB-4C83-4B87-9AFE-209F25DD5194}"/>
  <tableColumns count="3">
    <tableColumn id="1" xr3:uid="{3E6A2CBC-0FD8-4F78-9DB8-EF8FFD085532}" name="PERIODO"/>
    <tableColumn id="2" xr3:uid="{75DF75A8-4FEE-41AB-8BCE-678FC1AF6368}" name="Orden"/>
    <tableColumn id="3" xr3:uid="{BB600C00-8190-463E-AE72-9FF80038263B}" name="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488B7-27FD-40DB-B6F5-D3FFA0956C98}" name="F_ACTUALIZACION" displayName="F_ACTUALIZACION" ref="A1:A2" tableType="queryTable" totalsRowShown="0">
  <autoFilter ref="A1:A2" xr:uid="{8FB488B7-27FD-40DB-B6F5-D3FFA0956C98}"/>
  <tableColumns count="1">
    <tableColumn id="1" xr3:uid="{24715260-3C11-46B2-AD81-E69595D55C84}" uniqueName="1" name="Fecha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C255-8704-4C97-8F08-AD71E4739531}">
  <dimension ref="A1:S177"/>
  <sheetViews>
    <sheetView showGridLines="0" tabSelected="1" workbookViewId="0">
      <pane xSplit="4" ySplit="7" topLeftCell="G103" activePane="bottomRight" state="frozen"/>
      <selection activeCell="C1" sqref="C1"/>
      <selection pane="topRight" activeCell="E1" sqref="E1"/>
      <selection pane="bottomLeft" activeCell="C8" sqref="C8"/>
      <selection pane="bottomRight" activeCell="J8" sqref="J8"/>
    </sheetView>
  </sheetViews>
  <sheetFormatPr baseColWidth="10" defaultColWidth="8.109375" defaultRowHeight="14.4" outlineLevelCol="1" x14ac:dyDescent="0.3"/>
  <cols>
    <col min="1" max="1" width="16.109375" hidden="1" customWidth="1" outlineLevel="1"/>
    <col min="2" max="2" width="11.33203125" hidden="1" customWidth="1" outlineLevel="1"/>
    <col min="3" max="3" width="18.109375" hidden="1" customWidth="1" outlineLevel="1"/>
    <col min="4" max="4" width="75.6640625" bestFit="1" customWidth="1" collapsed="1"/>
    <col min="5" max="5" width="45.44140625" customWidth="1"/>
    <col min="6" max="6" width="79.33203125" customWidth="1"/>
    <col min="7" max="7" width="29.44140625" customWidth="1"/>
    <col min="8" max="8" width="20.33203125" customWidth="1"/>
    <col min="9" max="9" width="20" bestFit="1" customWidth="1"/>
    <col min="10" max="10" width="18.33203125" bestFit="1" customWidth="1"/>
    <col min="11" max="11" width="27.88671875" bestFit="1" customWidth="1"/>
    <col min="12" max="12" width="31.6640625" bestFit="1" customWidth="1"/>
    <col min="13" max="13" width="21.109375" bestFit="1" customWidth="1"/>
    <col min="14" max="14" width="24.33203125" bestFit="1" customWidth="1"/>
    <col min="15" max="15" width="24.88671875" bestFit="1" customWidth="1"/>
    <col min="16" max="16" width="13" bestFit="1" customWidth="1"/>
    <col min="17" max="17" width="18.88671875" bestFit="1" customWidth="1"/>
    <col min="18" max="18" width="31.6640625" bestFit="1" customWidth="1"/>
    <col min="19" max="19" width="24.33203125" bestFit="1" customWidth="1"/>
  </cols>
  <sheetData>
    <row r="1" spans="1:19" ht="14.4" customHeight="1" x14ac:dyDescent="0.3">
      <c r="C1" s="20" t="e" vm="1">
        <v>#VALUE!</v>
      </c>
      <c r="D1" s="21" t="s">
        <v>256</v>
      </c>
    </row>
    <row r="2" spans="1:19" x14ac:dyDescent="0.3">
      <c r="C2" s="20"/>
      <c r="D2" s="21"/>
    </row>
    <row r="3" spans="1:19" x14ac:dyDescent="0.3">
      <c r="D3" s="21"/>
    </row>
    <row r="4" spans="1:19" x14ac:dyDescent="0.3">
      <c r="C4" s="20" t="e" vm="2">
        <v>#VALUE!</v>
      </c>
      <c r="D4" s="4" cm="1">
        <f t="array" ref="D4">F_ACTUALIZACION[Fecha]</f>
        <v>46156</v>
      </c>
      <c r="K4" s="13">
        <f>SUM(SITUACION_COMPLETO[TRANSITO])</f>
        <v>322</v>
      </c>
      <c r="L4" s="13">
        <f>SUM(SITUACION_COMPLETO[DISPONIBLE GRAL])</f>
        <v>56989</v>
      </c>
      <c r="M4" s="13">
        <f>SUM(SITUACION_COMPLETO[DISPONIBLE FULLFILL])</f>
        <v>5286</v>
      </c>
      <c r="N4" s="13">
        <f>SUM(SITUACION_COMPLETO[STOCK GRAL])</f>
        <v>57955</v>
      </c>
      <c r="O4" s="13">
        <f>SUM(SITUACION_COMPLETO[STOCK DIGITAL])</f>
        <v>52114</v>
      </c>
      <c r="P4" s="13">
        <f>SUM(SITUACION_COMPLETO[STOCK FULLFILL])</f>
        <v>5841</v>
      </c>
      <c r="Q4" s="13">
        <f>SUM(SITUACION_COMPLETO[ADUANA])</f>
        <v>148736</v>
      </c>
      <c r="S4" s="13">
        <f>SUM(SITUACION_COMPLETO[PROXIMO INGRESO ESTIMADO])</f>
        <v>18476</v>
      </c>
    </row>
    <row r="5" spans="1:19" x14ac:dyDescent="0.3">
      <c r="C5" s="20"/>
      <c r="D5" s="19"/>
      <c r="G5" s="2"/>
      <c r="H5" s="1"/>
      <c r="K5" s="13">
        <f>SUBTOTAL(109,SITUACION_COMPLETO[TRANSITO])</f>
        <v>322</v>
      </c>
      <c r="L5" s="13">
        <f>SUBTOTAL(109,SITUACION_COMPLETO[DISPONIBLE GRAL])</f>
        <v>56989</v>
      </c>
      <c r="M5" s="13">
        <f>SUBTOTAL(109,SITUACION_COMPLETO[DISPONIBLE FULLFILL])</f>
        <v>5286</v>
      </c>
      <c r="N5" s="13">
        <f>SUBTOTAL(109,SITUACION_COMPLETO[STOCK GRAL])</f>
        <v>57955</v>
      </c>
      <c r="O5" s="13">
        <f>SUBTOTAL(109,SITUACION_COMPLETO[STOCK DIGITAL])</f>
        <v>52114</v>
      </c>
      <c r="P5" s="13">
        <f>SUBTOTAL(109,SITUACION_COMPLETO[STOCK FULLFILL])</f>
        <v>5841</v>
      </c>
      <c r="Q5" s="13">
        <f>SUBTOTAL(109,SITUACION_COMPLETO[ADUANA])</f>
        <v>148736</v>
      </c>
      <c r="S5" s="13">
        <f>SUBTOTAL(109,SITUACION_COMPLETO[PROXIMO INGRESO ESTIMADO])</f>
        <v>18476</v>
      </c>
    </row>
    <row r="6" spans="1:19" ht="15" thickBot="1" x14ac:dyDescent="0.35">
      <c r="C6" s="20"/>
      <c r="D6" s="9">
        <f ca="1">TODAY()+120</f>
        <v>46279</v>
      </c>
      <c r="K6" s="14">
        <f t="shared" ref="K6:Q6" si="0">K5/K4</f>
        <v>1</v>
      </c>
      <c r="L6" s="14">
        <f t="shared" si="0"/>
        <v>1</v>
      </c>
      <c r="M6" s="14">
        <f t="shared" si="0"/>
        <v>1</v>
      </c>
      <c r="N6" s="14">
        <f t="shared" si="0"/>
        <v>1</v>
      </c>
      <c r="O6" s="14">
        <f t="shared" si="0"/>
        <v>1</v>
      </c>
      <c r="P6" s="14">
        <f t="shared" si="0"/>
        <v>1</v>
      </c>
      <c r="Q6" s="14">
        <f t="shared" si="0"/>
        <v>1</v>
      </c>
      <c r="S6" s="14">
        <f>S5/S4</f>
        <v>1</v>
      </c>
    </row>
    <row r="7" spans="1:19" s="3" customFormat="1" ht="29.4" thickBot="1" x14ac:dyDescent="0.35">
      <c r="A7" t="s">
        <v>300</v>
      </c>
      <c r="B7" s="3" t="s">
        <v>260</v>
      </c>
      <c r="C7" t="s">
        <v>24</v>
      </c>
      <c r="D7" s="5" t="s">
        <v>0</v>
      </c>
      <c r="E7" s="18" t="s">
        <v>140</v>
      </c>
      <c r="F7" s="5" t="s">
        <v>1</v>
      </c>
      <c r="G7" s="11" t="s">
        <v>27</v>
      </c>
      <c r="H7" s="5" t="s">
        <v>279</v>
      </c>
      <c r="I7" s="5" t="s">
        <v>25</v>
      </c>
      <c r="J7" s="5" t="s">
        <v>2</v>
      </c>
      <c r="K7" s="15" t="s">
        <v>274</v>
      </c>
      <c r="L7" s="16" t="s">
        <v>287</v>
      </c>
      <c r="M7" s="10" t="s">
        <v>26</v>
      </c>
      <c r="N7" s="16" t="s">
        <v>288</v>
      </c>
      <c r="O7" s="17" t="s">
        <v>289</v>
      </c>
      <c r="P7" s="10" t="s">
        <v>290</v>
      </c>
      <c r="Q7" s="6" t="s">
        <v>3</v>
      </c>
      <c r="R7" s="7" t="s">
        <v>23</v>
      </c>
      <c r="S7" s="7" t="s">
        <v>4</v>
      </c>
    </row>
    <row r="8" spans="1:19" x14ac:dyDescent="0.3">
      <c r="A8" t="s">
        <v>301</v>
      </c>
      <c r="B8" t="str">
        <f>IF(SITUACION_COMPLETO[[#This Row],[PROXIMO INGRESO ESTIMADO]]&gt;0,"SI","NO")</f>
        <v>NO</v>
      </c>
      <c r="C8">
        <v>0</v>
      </c>
      <c r="D8" t="s">
        <v>28</v>
      </c>
      <c r="E8" t="s">
        <v>141</v>
      </c>
      <c r="F8" t="str">
        <f>+VLOOKUP(SITUACION_COMPLETO[[#This Row],[CODIGO]],[1]Sheet1!$A:$C,3,0)</f>
        <v>CICLISMO</v>
      </c>
      <c r="G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8" t="s">
        <v>280</v>
      </c>
      <c r="I8" t="str">
        <f>+VLOOKUP(SITUACION_COMPLETO[[#This Row],[CODIGO]],[1]Sheet1!$A:$D,4,0)</f>
        <v>COMPRESORES</v>
      </c>
      <c r="J8" t="s">
        <v>29</v>
      </c>
      <c r="K8">
        <v>0</v>
      </c>
      <c r="L8">
        <v>0</v>
      </c>
      <c r="M8" s="8">
        <v>0</v>
      </c>
      <c r="N8">
        <v>0</v>
      </c>
      <c r="O8">
        <v>0</v>
      </c>
      <c r="P8">
        <v>0</v>
      </c>
      <c r="Q8" s="8">
        <v>0</v>
      </c>
      <c r="R8" s="12"/>
      <c r="S8" s="8"/>
    </row>
    <row r="9" spans="1:19" x14ac:dyDescent="0.3">
      <c r="A9" t="s">
        <v>468</v>
      </c>
      <c r="B9" t="str">
        <f>IF(SITUACION_COMPLETO[[#This Row],[PROXIMO INGRESO ESTIMADO]]&gt;0,"SI","NO")</f>
        <v>SI</v>
      </c>
      <c r="C9">
        <v>0</v>
      </c>
      <c r="D9" t="s">
        <v>298</v>
      </c>
      <c r="E9" t="s">
        <v>469</v>
      </c>
      <c r="F9" t="s">
        <v>520</v>
      </c>
      <c r="G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9" t="s">
        <v>280</v>
      </c>
      <c r="I9" t="s">
        <v>521</v>
      </c>
      <c r="J9" t="s">
        <v>6</v>
      </c>
      <c r="K9">
        <v>0</v>
      </c>
      <c r="L9">
        <v>0</v>
      </c>
      <c r="M9" s="8">
        <v>0</v>
      </c>
      <c r="N9">
        <v>0</v>
      </c>
      <c r="O9">
        <v>0</v>
      </c>
      <c r="P9">
        <v>0</v>
      </c>
      <c r="Q9" s="8">
        <v>0</v>
      </c>
      <c r="R9" s="12">
        <v>46205</v>
      </c>
      <c r="S9" s="8">
        <v>2747</v>
      </c>
    </row>
    <row r="10" spans="1:19" x14ac:dyDescent="0.3">
      <c r="B10" t="str">
        <f>IF(SITUACION_COMPLETO[[#This Row],[PROXIMO INGRESO ESTIMADO]]&gt;0,"SI","NO")</f>
        <v>NO</v>
      </c>
      <c r="C10">
        <v>0</v>
      </c>
      <c r="D10" t="s">
        <v>430</v>
      </c>
      <c r="E10" t="s">
        <v>145</v>
      </c>
      <c r="F10" t="s">
        <v>282</v>
      </c>
      <c r="G1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0" t="s">
        <v>280</v>
      </c>
      <c r="I10" t="s">
        <v>521</v>
      </c>
      <c r="J10" t="s">
        <v>6</v>
      </c>
      <c r="K10">
        <v>0</v>
      </c>
      <c r="L10">
        <v>0</v>
      </c>
      <c r="M10" s="8">
        <v>0</v>
      </c>
      <c r="N10">
        <v>0</v>
      </c>
      <c r="O10">
        <v>0</v>
      </c>
      <c r="P10">
        <v>0</v>
      </c>
      <c r="Q10" s="8">
        <v>0</v>
      </c>
      <c r="R10" s="12"/>
      <c r="S10" s="8"/>
    </row>
    <row r="11" spans="1:19" x14ac:dyDescent="0.3">
      <c r="B11" t="str">
        <f>IF(SITUACION_COMPLETO[[#This Row],[PROXIMO INGRESO ESTIMADO]]&gt;0,"SI","NO")</f>
        <v>NO</v>
      </c>
      <c r="C11">
        <v>0</v>
      </c>
      <c r="D11" t="s">
        <v>489</v>
      </c>
      <c r="E11" t="s">
        <v>488</v>
      </c>
      <c r="F11" t="s">
        <v>263</v>
      </c>
      <c r="G11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1" t="s">
        <v>281</v>
      </c>
      <c r="I11" t="s">
        <v>522</v>
      </c>
      <c r="J11" t="s">
        <v>13</v>
      </c>
      <c r="K11">
        <v>0</v>
      </c>
      <c r="L11">
        <v>0</v>
      </c>
      <c r="M11" s="8">
        <v>0</v>
      </c>
      <c r="N11">
        <v>0</v>
      </c>
      <c r="O11">
        <v>0</v>
      </c>
      <c r="P11">
        <v>0</v>
      </c>
      <c r="Q11" s="8">
        <v>0</v>
      </c>
      <c r="R11" s="12"/>
      <c r="S11" s="8"/>
    </row>
    <row r="12" spans="1:19" x14ac:dyDescent="0.3">
      <c r="A12" t="s">
        <v>308</v>
      </c>
      <c r="B12" t="str">
        <f>IF(SITUACION_COMPLETO[[#This Row],[PROXIMO INGRESO ESTIMADO]]&gt;0,"SI","NO")</f>
        <v>SI</v>
      </c>
      <c r="C12">
        <v>0</v>
      </c>
      <c r="D12" t="s">
        <v>261</v>
      </c>
      <c r="E12" t="s">
        <v>262</v>
      </c>
      <c r="F12" t="str">
        <f>+VLOOKUP(SITUACION_COMPLETO[[#This Row],[CODIGO]],[1]Sheet1!$A:$C,3,0)</f>
        <v>JUGUETES</v>
      </c>
      <c r="G12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12" t="s">
        <v>280</v>
      </c>
      <c r="I12" t="str">
        <f>+VLOOKUP(SITUACION_COMPLETO[[#This Row],[CODIGO]],[1]Sheet1!$A:$D,4,0)</f>
        <v>AUTOS A CONTROL REMOTO</v>
      </c>
      <c r="J12" t="s">
        <v>13</v>
      </c>
      <c r="K12">
        <v>0</v>
      </c>
      <c r="L12">
        <v>8</v>
      </c>
      <c r="M12" s="8">
        <v>0</v>
      </c>
      <c r="N12">
        <v>8</v>
      </c>
      <c r="O12">
        <v>8</v>
      </c>
      <c r="P12">
        <v>0</v>
      </c>
      <c r="Q12" s="8">
        <v>0</v>
      </c>
      <c r="R12" s="12">
        <v>46239</v>
      </c>
      <c r="S12" s="8">
        <v>705</v>
      </c>
    </row>
    <row r="13" spans="1:19" x14ac:dyDescent="0.3">
      <c r="A13" t="s">
        <v>306</v>
      </c>
      <c r="B13" t="str">
        <f>IF(SITUACION_COMPLETO[[#This Row],[PROXIMO INGRESO ESTIMADO]]&gt;0,"SI","NO")</f>
        <v>SI</v>
      </c>
      <c r="C13">
        <v>0</v>
      </c>
      <c r="D13" t="s">
        <v>266</v>
      </c>
      <c r="E13" t="s">
        <v>267</v>
      </c>
      <c r="F13" t="str">
        <f>+VLOOKUP(SITUACION_COMPLETO[[#This Row],[CODIGO]],[1]Sheet1!$A:$C,3,0)</f>
        <v>JUGUETES</v>
      </c>
      <c r="G13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13" t="s">
        <v>280</v>
      </c>
      <c r="I13" t="str">
        <f>+VLOOKUP(SITUACION_COMPLETO[[#This Row],[CODIGO]],[1]Sheet1!$A:$D,4,0)</f>
        <v>AUTOS A CONTROL REMOTO</v>
      </c>
      <c r="J13" t="s">
        <v>13</v>
      </c>
      <c r="K13">
        <v>0</v>
      </c>
      <c r="L13">
        <v>9</v>
      </c>
      <c r="M13" s="8">
        <v>0</v>
      </c>
      <c r="N13">
        <v>9</v>
      </c>
      <c r="O13">
        <v>9</v>
      </c>
      <c r="P13">
        <v>0</v>
      </c>
      <c r="Q13" s="8">
        <v>0</v>
      </c>
      <c r="R13" s="12">
        <v>46239</v>
      </c>
      <c r="S13" s="8">
        <v>705</v>
      </c>
    </row>
    <row r="14" spans="1:19" x14ac:dyDescent="0.3">
      <c r="B14" t="str">
        <f>IF(SITUACION_COMPLETO[[#This Row],[PROXIMO INGRESO ESTIMADO]]&gt;0,"SI","NO")</f>
        <v>NO</v>
      </c>
      <c r="C14">
        <v>0</v>
      </c>
      <c r="D14" t="s">
        <v>299</v>
      </c>
      <c r="E14" t="s">
        <v>431</v>
      </c>
      <c r="F14" t="s">
        <v>520</v>
      </c>
      <c r="G14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4" t="s">
        <v>280</v>
      </c>
      <c r="I14" t="s">
        <v>521</v>
      </c>
      <c r="J14" t="s">
        <v>6</v>
      </c>
      <c r="K14">
        <v>0</v>
      </c>
      <c r="L14">
        <v>0</v>
      </c>
      <c r="M14" s="8">
        <v>0</v>
      </c>
      <c r="N14">
        <v>0</v>
      </c>
      <c r="O14">
        <v>0</v>
      </c>
      <c r="P14">
        <v>0</v>
      </c>
      <c r="Q14" s="8">
        <v>0</v>
      </c>
      <c r="R14" s="12"/>
      <c r="S14" s="8"/>
    </row>
    <row r="15" spans="1:19" x14ac:dyDescent="0.3">
      <c r="A15" t="s">
        <v>318</v>
      </c>
      <c r="B15" t="str">
        <f>IF(SITUACION_COMPLETO[[#This Row],[PROXIMO INGRESO ESTIMADO]]&gt;0,"SI","NO")</f>
        <v>NO</v>
      </c>
      <c r="C15">
        <v>0</v>
      </c>
      <c r="D15" t="s">
        <v>12</v>
      </c>
      <c r="E15" t="s">
        <v>160</v>
      </c>
      <c r="F15" t="str">
        <f>+VLOOKUP(SITUACION_COMPLETO[[#This Row],[CODIGO]],[1]Sheet1!$A:$C,3,0)</f>
        <v>CCTV</v>
      </c>
      <c r="G15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15" t="s">
        <v>281</v>
      </c>
      <c r="I15" t="str">
        <f>+VLOOKUP(SITUACION_COMPLETO[[#This Row],[CODIGO]],[1]Sheet1!$A:$D,4,0)</f>
        <v>CAMARA SEGURIDAD</v>
      </c>
      <c r="J15" t="s">
        <v>10</v>
      </c>
      <c r="K15">
        <v>114</v>
      </c>
      <c r="L15">
        <v>16</v>
      </c>
      <c r="M15" s="8">
        <v>8</v>
      </c>
      <c r="N15">
        <v>16</v>
      </c>
      <c r="O15">
        <v>8</v>
      </c>
      <c r="P15">
        <v>8</v>
      </c>
      <c r="Q15" s="8">
        <v>0</v>
      </c>
      <c r="R15" s="12"/>
      <c r="S15" s="8"/>
    </row>
    <row r="16" spans="1:19" x14ac:dyDescent="0.3">
      <c r="B16" t="str">
        <f>IF(SITUACION_COMPLETO[[#This Row],[PROXIMO INGRESO ESTIMADO]]&gt;0,"SI","NO")</f>
        <v>NO</v>
      </c>
      <c r="C16">
        <v>0</v>
      </c>
      <c r="D16" t="s">
        <v>490</v>
      </c>
      <c r="E16" t="s">
        <v>435</v>
      </c>
      <c r="F16" t="s">
        <v>263</v>
      </c>
      <c r="G16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6" t="s">
        <v>280</v>
      </c>
      <c r="I16" t="s">
        <v>522</v>
      </c>
      <c r="J16" t="s">
        <v>13</v>
      </c>
      <c r="K16">
        <v>0</v>
      </c>
      <c r="L16">
        <v>0</v>
      </c>
      <c r="M16" s="8">
        <v>0</v>
      </c>
      <c r="N16">
        <v>0</v>
      </c>
      <c r="O16">
        <v>0</v>
      </c>
      <c r="P16">
        <v>0</v>
      </c>
      <c r="Q16" s="8">
        <v>0</v>
      </c>
      <c r="R16" s="12"/>
      <c r="S16" s="8"/>
    </row>
    <row r="17" spans="1:19" x14ac:dyDescent="0.3">
      <c r="B17" t="str">
        <f>IF(SITUACION_COMPLETO[[#This Row],[PROXIMO INGRESO ESTIMADO]]&gt;0,"SI","NO")</f>
        <v>NO</v>
      </c>
      <c r="C17">
        <v>0</v>
      </c>
      <c r="D17" t="s">
        <v>491</v>
      </c>
      <c r="E17" t="s">
        <v>437</v>
      </c>
      <c r="F17" t="s">
        <v>263</v>
      </c>
      <c r="G17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7" t="s">
        <v>280</v>
      </c>
      <c r="I17" t="s">
        <v>522</v>
      </c>
      <c r="J17" t="s">
        <v>13</v>
      </c>
      <c r="K17">
        <v>0</v>
      </c>
      <c r="L17">
        <v>0</v>
      </c>
      <c r="M17" s="8">
        <v>0</v>
      </c>
      <c r="N17">
        <v>0</v>
      </c>
      <c r="O17">
        <v>0</v>
      </c>
      <c r="P17">
        <v>0</v>
      </c>
      <c r="Q17" s="8">
        <v>0</v>
      </c>
      <c r="R17" s="12"/>
      <c r="S17" s="8"/>
    </row>
    <row r="18" spans="1:19" x14ac:dyDescent="0.3">
      <c r="B18" t="str">
        <f>IF(SITUACION_COMPLETO[[#This Row],[PROXIMO INGRESO ESTIMADO]]&gt;0,"SI","NO")</f>
        <v>NO</v>
      </c>
      <c r="C18">
        <v>0</v>
      </c>
      <c r="D18" t="s">
        <v>492</v>
      </c>
      <c r="E18" t="s">
        <v>436</v>
      </c>
      <c r="F18" t="s">
        <v>263</v>
      </c>
      <c r="G1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8" t="s">
        <v>280</v>
      </c>
      <c r="I18" t="s">
        <v>522</v>
      </c>
      <c r="J18" t="s">
        <v>13</v>
      </c>
      <c r="K18">
        <v>0</v>
      </c>
      <c r="L18">
        <v>0</v>
      </c>
      <c r="M18" s="8">
        <v>0</v>
      </c>
      <c r="N18">
        <v>0</v>
      </c>
      <c r="O18">
        <v>0</v>
      </c>
      <c r="P18">
        <v>0</v>
      </c>
      <c r="Q18" s="8">
        <v>0</v>
      </c>
      <c r="R18" s="12"/>
      <c r="S18" s="8"/>
    </row>
    <row r="19" spans="1:19" x14ac:dyDescent="0.3">
      <c r="A19" t="s">
        <v>311</v>
      </c>
      <c r="B19" t="str">
        <f>IF(SITUACION_COMPLETO[[#This Row],[PROXIMO INGRESO ESTIMADO]]&gt;0,"SI","NO")</f>
        <v>NO</v>
      </c>
      <c r="C19">
        <v>0</v>
      </c>
      <c r="D19" t="s">
        <v>37</v>
      </c>
      <c r="E19" t="s">
        <v>150</v>
      </c>
      <c r="F19" t="s">
        <v>38</v>
      </c>
      <c r="G1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9" t="s">
        <v>281</v>
      </c>
      <c r="I19" t="s">
        <v>524</v>
      </c>
      <c r="J19" t="s">
        <v>39</v>
      </c>
      <c r="K19">
        <v>0</v>
      </c>
      <c r="L19">
        <v>0</v>
      </c>
      <c r="M19" s="8">
        <v>0</v>
      </c>
      <c r="N19">
        <v>0</v>
      </c>
      <c r="O19">
        <v>0</v>
      </c>
      <c r="P19">
        <v>0</v>
      </c>
      <c r="Q19" s="8">
        <v>2000</v>
      </c>
      <c r="R19" s="12"/>
      <c r="S19" s="8"/>
    </row>
    <row r="20" spans="1:19" x14ac:dyDescent="0.3">
      <c r="A20" t="s">
        <v>312</v>
      </c>
      <c r="B20" t="str">
        <f>IF(SITUACION_COMPLETO[[#This Row],[PROXIMO INGRESO ESTIMADO]]&gt;0,"SI","NO")</f>
        <v>NO</v>
      </c>
      <c r="C20">
        <v>0</v>
      </c>
      <c r="D20" t="s">
        <v>41</v>
      </c>
      <c r="E20" t="s">
        <v>152</v>
      </c>
      <c r="F20" t="s">
        <v>38</v>
      </c>
      <c r="G2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0" t="s">
        <v>281</v>
      </c>
      <c r="I20" t="s">
        <v>524</v>
      </c>
      <c r="J20" t="s">
        <v>39</v>
      </c>
      <c r="K20">
        <v>0</v>
      </c>
      <c r="L20">
        <v>0</v>
      </c>
      <c r="M20" s="8">
        <v>0</v>
      </c>
      <c r="N20">
        <v>0</v>
      </c>
      <c r="O20">
        <v>0</v>
      </c>
      <c r="P20">
        <v>0</v>
      </c>
      <c r="Q20" s="8">
        <v>2000</v>
      </c>
      <c r="R20" s="12"/>
      <c r="S20" s="8"/>
    </row>
    <row r="21" spans="1:19" x14ac:dyDescent="0.3">
      <c r="A21" t="s">
        <v>466</v>
      </c>
      <c r="B21" t="str">
        <f>IF(SITUACION_COMPLETO[[#This Row],[PROXIMO INGRESO ESTIMADO]]&gt;0,"SI","NO")</f>
        <v>SI</v>
      </c>
      <c r="C21">
        <v>0</v>
      </c>
      <c r="D21" t="s">
        <v>432</v>
      </c>
      <c r="E21" t="s">
        <v>470</v>
      </c>
      <c r="F21" t="s">
        <v>523</v>
      </c>
      <c r="G21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1" t="s">
        <v>280</v>
      </c>
      <c r="I21" t="s">
        <v>525</v>
      </c>
      <c r="J21" t="s">
        <v>6</v>
      </c>
      <c r="K21">
        <v>0</v>
      </c>
      <c r="L21">
        <v>0</v>
      </c>
      <c r="M21" s="8">
        <v>0</v>
      </c>
      <c r="N21">
        <v>0</v>
      </c>
      <c r="O21">
        <v>0</v>
      </c>
      <c r="P21">
        <v>0</v>
      </c>
      <c r="Q21" s="8">
        <v>0</v>
      </c>
      <c r="R21" s="12">
        <v>46157</v>
      </c>
      <c r="S21" s="8">
        <v>760</v>
      </c>
    </row>
    <row r="22" spans="1:19" x14ac:dyDescent="0.3">
      <c r="A22" t="s">
        <v>467</v>
      </c>
      <c r="B22" t="str">
        <f>IF(SITUACION_COMPLETO[[#This Row],[PROXIMO INGRESO ESTIMADO]]&gt;0,"SI","NO")</f>
        <v>SI</v>
      </c>
      <c r="C22">
        <v>0</v>
      </c>
      <c r="D22" t="s">
        <v>433</v>
      </c>
      <c r="E22" t="s">
        <v>471</v>
      </c>
      <c r="F22" t="s">
        <v>523</v>
      </c>
      <c r="G22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2" t="s">
        <v>280</v>
      </c>
      <c r="I22" t="s">
        <v>525</v>
      </c>
      <c r="J22" t="s">
        <v>6</v>
      </c>
      <c r="K22">
        <v>0</v>
      </c>
      <c r="L22">
        <v>0</v>
      </c>
      <c r="M22" s="8">
        <v>0</v>
      </c>
      <c r="N22">
        <v>0</v>
      </c>
      <c r="O22">
        <v>0</v>
      </c>
      <c r="P22">
        <v>0</v>
      </c>
      <c r="Q22" s="8">
        <v>0</v>
      </c>
      <c r="R22" s="12">
        <v>46157</v>
      </c>
      <c r="S22" s="8">
        <v>1000</v>
      </c>
    </row>
    <row r="23" spans="1:19" x14ac:dyDescent="0.3">
      <c r="A23" t="s">
        <v>462</v>
      </c>
      <c r="B23" t="str">
        <f>IF(SITUACION_COMPLETO[[#This Row],[PROXIMO INGRESO ESTIMADO]]&gt;0,"SI","NO")</f>
        <v>SI</v>
      </c>
      <c r="C23">
        <v>0</v>
      </c>
      <c r="D23" t="s">
        <v>285</v>
      </c>
      <c r="E23" t="s">
        <v>434</v>
      </c>
      <c r="F23" t="s">
        <v>523</v>
      </c>
      <c r="G23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3" t="s">
        <v>280</v>
      </c>
      <c r="I23" t="s">
        <v>525</v>
      </c>
      <c r="J23" t="s">
        <v>6</v>
      </c>
      <c r="K23">
        <v>0</v>
      </c>
      <c r="L23">
        <v>0</v>
      </c>
      <c r="M23" s="8">
        <v>0</v>
      </c>
      <c r="N23">
        <v>0</v>
      </c>
      <c r="O23">
        <v>0</v>
      </c>
      <c r="P23">
        <v>0</v>
      </c>
      <c r="Q23" s="8">
        <v>242</v>
      </c>
      <c r="R23" s="12">
        <v>46167</v>
      </c>
      <c r="S23" s="8">
        <v>6</v>
      </c>
    </row>
    <row r="24" spans="1:19" x14ac:dyDescent="0.3">
      <c r="A24" t="s">
        <v>319</v>
      </c>
      <c r="B24" t="str">
        <f>IF(SITUACION_COMPLETO[[#This Row],[PROXIMO INGRESO ESTIMADO]]&gt;0,"SI","NO")</f>
        <v>NO</v>
      </c>
      <c r="C24">
        <v>0</v>
      </c>
      <c r="D24" t="s">
        <v>44</v>
      </c>
      <c r="E24" t="s">
        <v>155</v>
      </c>
      <c r="F24" t="str">
        <f>+VLOOKUP(SITUACION_COMPLETO[[#This Row],[CODIGO]],[1]Sheet1!$A:$C,3,0)</f>
        <v>PEQUEÑOS ELECTRO</v>
      </c>
      <c r="G24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24" t="s">
        <v>280</v>
      </c>
      <c r="I24" t="str">
        <f>+VLOOKUP(SITUACION_COMPLETO[[#This Row],[CODIGO]],[1]Sheet1!$A:$D,4,0)</f>
        <v>CAFETERAS</v>
      </c>
      <c r="J24" t="s">
        <v>6</v>
      </c>
      <c r="K24">
        <v>0</v>
      </c>
      <c r="L24">
        <v>299</v>
      </c>
      <c r="M24" s="8">
        <v>0</v>
      </c>
      <c r="N24">
        <v>300</v>
      </c>
      <c r="O24">
        <v>300</v>
      </c>
      <c r="P24">
        <v>0</v>
      </c>
      <c r="Q24" s="8">
        <v>1200</v>
      </c>
      <c r="R24" s="12"/>
      <c r="S24" s="8"/>
    </row>
    <row r="25" spans="1:19" x14ac:dyDescent="0.3">
      <c r="B25" t="str">
        <f>IF(SITUACION_COMPLETO[[#This Row],[PROXIMO INGRESO ESTIMADO]]&gt;0,"SI","NO")</f>
        <v>NO</v>
      </c>
      <c r="C25">
        <v>0</v>
      </c>
      <c r="D25" t="s">
        <v>425</v>
      </c>
      <c r="E25" t="s">
        <v>426</v>
      </c>
      <c r="F25" t="s">
        <v>523</v>
      </c>
      <c r="G25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5" t="s">
        <v>280</v>
      </c>
      <c r="I25" t="s">
        <v>526</v>
      </c>
      <c r="J25" t="s">
        <v>6</v>
      </c>
      <c r="K25">
        <v>0</v>
      </c>
      <c r="L25">
        <v>0</v>
      </c>
      <c r="M25" s="8">
        <v>0</v>
      </c>
      <c r="N25">
        <v>0</v>
      </c>
      <c r="O25">
        <v>0</v>
      </c>
      <c r="P25">
        <v>0</v>
      </c>
      <c r="Q25" s="8">
        <v>0</v>
      </c>
      <c r="R25" s="12"/>
      <c r="S25" s="8"/>
    </row>
    <row r="26" spans="1:19" x14ac:dyDescent="0.3">
      <c r="B26" t="str">
        <f>IF(SITUACION_COMPLETO[[#This Row],[PROXIMO INGRESO ESTIMADO]]&gt;0,"SI","NO")</f>
        <v>NO</v>
      </c>
      <c r="C26">
        <v>0</v>
      </c>
      <c r="D26" t="s">
        <v>427</v>
      </c>
      <c r="E26" t="s">
        <v>428</v>
      </c>
      <c r="F26" t="s">
        <v>523</v>
      </c>
      <c r="G26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6" t="s">
        <v>280</v>
      </c>
      <c r="I26" t="s">
        <v>526</v>
      </c>
      <c r="J26" t="s">
        <v>6</v>
      </c>
      <c r="K26">
        <v>0</v>
      </c>
      <c r="L26">
        <v>0</v>
      </c>
      <c r="M26" s="8">
        <v>0</v>
      </c>
      <c r="N26">
        <v>0</v>
      </c>
      <c r="O26">
        <v>0</v>
      </c>
      <c r="P26">
        <v>0</v>
      </c>
      <c r="Q26" s="8">
        <v>0</v>
      </c>
      <c r="R26" s="12"/>
      <c r="S26" s="8"/>
    </row>
    <row r="27" spans="1:19" x14ac:dyDescent="0.3">
      <c r="A27" t="s">
        <v>323</v>
      </c>
      <c r="B27" t="str">
        <f>IF(SITUACION_COMPLETO[[#This Row],[PROXIMO INGRESO ESTIMADO]]&gt;0,"SI","NO")</f>
        <v>NO</v>
      </c>
      <c r="C27">
        <v>0</v>
      </c>
      <c r="D27" t="s">
        <v>48</v>
      </c>
      <c r="E27" t="s">
        <v>161</v>
      </c>
      <c r="F27" t="s">
        <v>38</v>
      </c>
      <c r="G27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7" t="s">
        <v>281</v>
      </c>
      <c r="I27" t="s">
        <v>527</v>
      </c>
      <c r="J27" t="s">
        <v>39</v>
      </c>
      <c r="K27">
        <v>0</v>
      </c>
      <c r="L27">
        <v>0</v>
      </c>
      <c r="M27" s="8">
        <v>0</v>
      </c>
      <c r="N27">
        <v>0</v>
      </c>
      <c r="O27">
        <v>0</v>
      </c>
      <c r="P27">
        <v>0</v>
      </c>
      <c r="Q27" s="8">
        <v>3000</v>
      </c>
      <c r="R27" s="12"/>
      <c r="S27" s="8"/>
    </row>
    <row r="28" spans="1:19" x14ac:dyDescent="0.3">
      <c r="A28" t="s">
        <v>438</v>
      </c>
      <c r="B28" t="str">
        <f>IF(SITUACION_COMPLETO[[#This Row],[PROXIMO INGRESO ESTIMADO]]&gt;0,"SI","NO")</f>
        <v>NO</v>
      </c>
      <c r="C28">
        <v>0</v>
      </c>
      <c r="D28" t="s">
        <v>439</v>
      </c>
      <c r="E28" t="s">
        <v>440</v>
      </c>
      <c r="F28" t="s">
        <v>38</v>
      </c>
      <c r="G2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8" t="s">
        <v>281</v>
      </c>
      <c r="I28" t="s">
        <v>527</v>
      </c>
      <c r="J28" t="s">
        <v>39</v>
      </c>
      <c r="K28">
        <v>0</v>
      </c>
      <c r="L28">
        <v>0</v>
      </c>
      <c r="M28" s="8">
        <v>0</v>
      </c>
      <c r="N28">
        <v>0</v>
      </c>
      <c r="O28">
        <v>0</v>
      </c>
      <c r="P28">
        <v>0</v>
      </c>
      <c r="Q28" s="8">
        <v>2000</v>
      </c>
      <c r="R28" s="12"/>
      <c r="S28" s="8"/>
    </row>
    <row r="29" spans="1:19" x14ac:dyDescent="0.3">
      <c r="B29" t="str">
        <f>IF(SITUACION_COMPLETO[[#This Row],[PROXIMO INGRESO ESTIMADO]]&gt;0,"SI","NO")</f>
        <v>NO</v>
      </c>
      <c r="C29">
        <v>0</v>
      </c>
      <c r="D29" t="s">
        <v>441</v>
      </c>
      <c r="E29" t="s">
        <v>178</v>
      </c>
      <c r="F29" t="s">
        <v>523</v>
      </c>
      <c r="G2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29" t="s">
        <v>280</v>
      </c>
      <c r="I29" t="s">
        <v>528</v>
      </c>
      <c r="J29" t="s">
        <v>6</v>
      </c>
      <c r="K29">
        <v>0</v>
      </c>
      <c r="L29">
        <v>0</v>
      </c>
      <c r="M29" s="8">
        <v>0</v>
      </c>
      <c r="N29">
        <v>0</v>
      </c>
      <c r="O29">
        <v>0</v>
      </c>
      <c r="P29">
        <v>0</v>
      </c>
      <c r="Q29" s="8">
        <v>0</v>
      </c>
      <c r="R29" s="12"/>
      <c r="S29" s="8"/>
    </row>
    <row r="30" spans="1:19" x14ac:dyDescent="0.3">
      <c r="A30" t="s">
        <v>464</v>
      </c>
      <c r="B30" t="str">
        <f>IF(SITUACION_COMPLETO[[#This Row],[PROXIMO INGRESO ESTIMADO]]&gt;0,"SI","NO")</f>
        <v>NO</v>
      </c>
      <c r="C30">
        <v>0</v>
      </c>
      <c r="D30" t="s">
        <v>286</v>
      </c>
      <c r="E30" t="s">
        <v>465</v>
      </c>
      <c r="F30" t="s">
        <v>523</v>
      </c>
      <c r="G3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0" t="s">
        <v>280</v>
      </c>
      <c r="I30" t="s">
        <v>529</v>
      </c>
      <c r="J30" t="s">
        <v>6</v>
      </c>
      <c r="K30">
        <v>0</v>
      </c>
      <c r="L30">
        <v>0</v>
      </c>
      <c r="M30" s="8">
        <v>0</v>
      </c>
      <c r="N30">
        <v>0</v>
      </c>
      <c r="O30">
        <v>0</v>
      </c>
      <c r="P30">
        <v>0</v>
      </c>
      <c r="Q30" s="8">
        <v>1200</v>
      </c>
      <c r="R30" s="12"/>
      <c r="S30" s="8"/>
    </row>
    <row r="31" spans="1:19" x14ac:dyDescent="0.3">
      <c r="B31" t="str">
        <f>IF(SITUACION_COMPLETO[[#This Row],[PROXIMO INGRESO ESTIMADO]]&gt;0,"SI","NO")</f>
        <v>NO</v>
      </c>
      <c r="C31">
        <v>0</v>
      </c>
      <c r="D31" t="s">
        <v>493</v>
      </c>
      <c r="E31" t="s">
        <v>291</v>
      </c>
      <c r="F31" t="s">
        <v>263</v>
      </c>
      <c r="G31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1" t="s">
        <v>280</v>
      </c>
      <c r="I31" t="s">
        <v>530</v>
      </c>
      <c r="J31" t="s">
        <v>13</v>
      </c>
      <c r="K31">
        <v>0</v>
      </c>
      <c r="L31">
        <v>0</v>
      </c>
      <c r="M31" s="8">
        <v>0</v>
      </c>
      <c r="N31">
        <v>0</v>
      </c>
      <c r="O31">
        <v>0</v>
      </c>
      <c r="P31">
        <v>0</v>
      </c>
      <c r="Q31" s="8">
        <v>0</v>
      </c>
      <c r="R31" s="12"/>
      <c r="S31" s="8"/>
    </row>
    <row r="32" spans="1:19" x14ac:dyDescent="0.3">
      <c r="B32" t="str">
        <f>IF(SITUACION_COMPLETO[[#This Row],[PROXIMO INGRESO ESTIMADO]]&gt;0,"SI","NO")</f>
        <v>NO</v>
      </c>
      <c r="C32">
        <v>0</v>
      </c>
      <c r="D32" t="s">
        <v>497</v>
      </c>
      <c r="E32" t="s">
        <v>292</v>
      </c>
      <c r="F32" t="s">
        <v>263</v>
      </c>
      <c r="G32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2" t="s">
        <v>280</v>
      </c>
      <c r="I32" t="s">
        <v>530</v>
      </c>
      <c r="J32" t="s">
        <v>13</v>
      </c>
      <c r="K32">
        <v>0</v>
      </c>
      <c r="L32">
        <v>0</v>
      </c>
      <c r="M32" s="8">
        <v>0</v>
      </c>
      <c r="N32">
        <v>0</v>
      </c>
      <c r="O32">
        <v>0</v>
      </c>
      <c r="P32">
        <v>0</v>
      </c>
      <c r="Q32" s="8">
        <v>0</v>
      </c>
      <c r="R32" s="12"/>
      <c r="S32" s="8"/>
    </row>
    <row r="33" spans="1:19" x14ac:dyDescent="0.3">
      <c r="B33" t="str">
        <f>IF(SITUACION_COMPLETO[[#This Row],[PROXIMO INGRESO ESTIMADO]]&gt;0,"SI","NO")</f>
        <v>NO</v>
      </c>
      <c r="C33">
        <v>0</v>
      </c>
      <c r="D33" t="s">
        <v>498</v>
      </c>
      <c r="E33" t="s">
        <v>293</v>
      </c>
      <c r="F33" t="s">
        <v>263</v>
      </c>
      <c r="G33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3" t="s">
        <v>280</v>
      </c>
      <c r="I33" t="s">
        <v>530</v>
      </c>
      <c r="J33" t="s">
        <v>13</v>
      </c>
      <c r="K33">
        <v>0</v>
      </c>
      <c r="L33">
        <v>0</v>
      </c>
      <c r="M33" s="8">
        <v>0</v>
      </c>
      <c r="N33">
        <v>0</v>
      </c>
      <c r="O33">
        <v>0</v>
      </c>
      <c r="P33">
        <v>0</v>
      </c>
      <c r="Q33" s="8">
        <v>0</v>
      </c>
      <c r="R33" s="12"/>
      <c r="S33" s="8"/>
    </row>
    <row r="34" spans="1:19" x14ac:dyDescent="0.3">
      <c r="A34" t="s">
        <v>353</v>
      </c>
      <c r="B34" t="str">
        <f>IF(SITUACION_COMPLETO[[#This Row],[PROXIMO INGRESO ESTIMADO]]&gt;0,"SI","NO")</f>
        <v>NO</v>
      </c>
      <c r="C34">
        <v>0</v>
      </c>
      <c r="D34" t="s">
        <v>76</v>
      </c>
      <c r="E34" t="s">
        <v>188</v>
      </c>
      <c r="F34" t="str">
        <f>+VLOOKUP(SITUACION_COMPLETO[[#This Row],[CODIGO]],[1]Sheet1!$A:$C,3,0)</f>
        <v>CICLISMO</v>
      </c>
      <c r="G34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4" t="s">
        <v>280</v>
      </c>
      <c r="I34" t="str">
        <f>+VLOOKUP(SITUACION_COMPLETO[[#This Row],[CODIGO]],[1]Sheet1!$A:$D,4,0)</f>
        <v>CICLOCOMPUTADORA</v>
      </c>
      <c r="J34" t="s">
        <v>29</v>
      </c>
      <c r="K34">
        <v>0</v>
      </c>
      <c r="L34">
        <v>0</v>
      </c>
      <c r="M34" s="8">
        <v>0</v>
      </c>
      <c r="N34">
        <v>0</v>
      </c>
      <c r="O34">
        <v>0</v>
      </c>
      <c r="P34">
        <v>0</v>
      </c>
      <c r="Q34" s="8">
        <v>0</v>
      </c>
      <c r="R34" s="12"/>
      <c r="S34" s="8"/>
    </row>
    <row r="35" spans="1:19" x14ac:dyDescent="0.3">
      <c r="A35" t="s">
        <v>356</v>
      </c>
      <c r="B35" t="str">
        <f>IF(SITUACION_COMPLETO[[#This Row],[PROXIMO INGRESO ESTIMADO]]&gt;0,"SI","NO")</f>
        <v>NO</v>
      </c>
      <c r="C35">
        <v>0</v>
      </c>
      <c r="D35" t="s">
        <v>56</v>
      </c>
      <c r="E35" t="s">
        <v>259</v>
      </c>
      <c r="F35" t="str">
        <f>+VLOOKUP(SITUACION_COMPLETO[[#This Row],[CODIGO]],[1]Sheet1!$A:$C,3,0)</f>
        <v>CLIMATIZACION</v>
      </c>
      <c r="G35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5" t="s">
        <v>280</v>
      </c>
      <c r="I35" t="str">
        <f>+VLOOKUP(SITUACION_COMPLETO[[#This Row],[CODIGO]],[1]Sheet1!$A:$D,4,0)</f>
        <v>VENTILADORES</v>
      </c>
      <c r="J35" t="s">
        <v>13</v>
      </c>
      <c r="K35">
        <v>1</v>
      </c>
      <c r="L35">
        <v>1</v>
      </c>
      <c r="M35" s="8">
        <v>0</v>
      </c>
      <c r="N35">
        <v>1</v>
      </c>
      <c r="O35">
        <v>1</v>
      </c>
      <c r="P35">
        <v>0</v>
      </c>
      <c r="Q35" s="8">
        <v>0</v>
      </c>
      <c r="R35" s="12"/>
      <c r="S35" s="8"/>
    </row>
    <row r="36" spans="1:19" x14ac:dyDescent="0.3">
      <c r="B36" t="str">
        <f>IF(SITUACION_COMPLETO[[#This Row],[PROXIMO INGRESO ESTIMADO]]&gt;0,"SI","NO")</f>
        <v>NO</v>
      </c>
      <c r="C36">
        <v>0</v>
      </c>
      <c r="D36" t="s">
        <v>494</v>
      </c>
      <c r="E36" t="s">
        <v>442</v>
      </c>
      <c r="F36" t="s">
        <v>263</v>
      </c>
      <c r="G36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6" t="s">
        <v>280</v>
      </c>
      <c r="I36" t="s">
        <v>531</v>
      </c>
      <c r="J36" t="s">
        <v>13</v>
      </c>
      <c r="K36">
        <v>0</v>
      </c>
      <c r="L36">
        <v>0</v>
      </c>
      <c r="M36" s="8">
        <v>0</v>
      </c>
      <c r="N36">
        <v>0</v>
      </c>
      <c r="O36">
        <v>0</v>
      </c>
      <c r="P36">
        <v>0</v>
      </c>
      <c r="Q36" s="8">
        <v>0</v>
      </c>
      <c r="R36" s="12"/>
      <c r="S36" s="8"/>
    </row>
    <row r="37" spans="1:19" x14ac:dyDescent="0.3">
      <c r="B37" t="str">
        <f>IF(SITUACION_COMPLETO[[#This Row],[PROXIMO INGRESO ESTIMADO]]&gt;0,"SI","NO")</f>
        <v>NO</v>
      </c>
      <c r="C37">
        <v>0</v>
      </c>
      <c r="D37" t="s">
        <v>495</v>
      </c>
      <c r="E37" t="s">
        <v>455</v>
      </c>
      <c r="F37" t="s">
        <v>263</v>
      </c>
      <c r="G37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7" t="s">
        <v>280</v>
      </c>
      <c r="I37" t="s">
        <v>531</v>
      </c>
      <c r="J37" t="s">
        <v>13</v>
      </c>
      <c r="K37">
        <v>0</v>
      </c>
      <c r="L37">
        <v>0</v>
      </c>
      <c r="M37" s="8">
        <v>0</v>
      </c>
      <c r="N37">
        <v>0</v>
      </c>
      <c r="O37">
        <v>0</v>
      </c>
      <c r="P37">
        <v>0</v>
      </c>
      <c r="Q37" s="8">
        <v>0</v>
      </c>
      <c r="R37" s="12"/>
      <c r="S37" s="8"/>
    </row>
    <row r="38" spans="1:19" x14ac:dyDescent="0.3">
      <c r="B38" t="str">
        <f>IF(SITUACION_COMPLETO[[#This Row],[PROXIMO INGRESO ESTIMADO]]&gt;0,"SI","NO")</f>
        <v>NO</v>
      </c>
      <c r="C38">
        <v>0</v>
      </c>
      <c r="D38" t="s">
        <v>496</v>
      </c>
      <c r="E38" t="s">
        <v>456</v>
      </c>
      <c r="F38" t="s">
        <v>263</v>
      </c>
      <c r="G3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8" t="s">
        <v>280</v>
      </c>
      <c r="I38" t="s">
        <v>531</v>
      </c>
      <c r="J38" t="s">
        <v>13</v>
      </c>
      <c r="K38">
        <v>0</v>
      </c>
      <c r="L38">
        <v>0</v>
      </c>
      <c r="M38" s="8">
        <v>0</v>
      </c>
      <c r="N38">
        <v>0</v>
      </c>
      <c r="O38">
        <v>0</v>
      </c>
      <c r="P38">
        <v>0</v>
      </c>
      <c r="Q38" s="8">
        <v>0</v>
      </c>
      <c r="R38" s="12"/>
      <c r="S38" s="8"/>
    </row>
    <row r="39" spans="1:19" x14ac:dyDescent="0.3">
      <c r="A39" t="s">
        <v>335</v>
      </c>
      <c r="B39" t="str">
        <f>IF(SITUACION_COMPLETO[[#This Row],[PROXIMO INGRESO ESTIMADO]]&gt;0,"SI","NO")</f>
        <v>NO</v>
      </c>
      <c r="C39">
        <v>0</v>
      </c>
      <c r="D39" t="s">
        <v>71</v>
      </c>
      <c r="E39" t="s">
        <v>183</v>
      </c>
      <c r="F39" t="s">
        <v>38</v>
      </c>
      <c r="G3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39" t="s">
        <v>281</v>
      </c>
      <c r="I39" t="s">
        <v>532</v>
      </c>
      <c r="J39" t="s">
        <v>39</v>
      </c>
      <c r="K39">
        <v>0</v>
      </c>
      <c r="L39">
        <v>0</v>
      </c>
      <c r="M39" s="8">
        <v>0</v>
      </c>
      <c r="N39">
        <v>0</v>
      </c>
      <c r="O39">
        <v>0</v>
      </c>
      <c r="P39">
        <v>0</v>
      </c>
      <c r="Q39" s="8">
        <v>3000</v>
      </c>
      <c r="R39" s="12"/>
      <c r="S39" s="8"/>
    </row>
    <row r="40" spans="1:19" x14ac:dyDescent="0.3">
      <c r="A40" t="s">
        <v>337</v>
      </c>
      <c r="B40" t="str">
        <f>IF(SITUACION_COMPLETO[[#This Row],[PROXIMO INGRESO ESTIMADO]]&gt;0,"SI","NO")</f>
        <v>NO</v>
      </c>
      <c r="C40">
        <v>0</v>
      </c>
      <c r="D40" t="s">
        <v>73</v>
      </c>
      <c r="E40" t="s">
        <v>185</v>
      </c>
      <c r="F40" t="s">
        <v>38</v>
      </c>
      <c r="G4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0" t="s">
        <v>281</v>
      </c>
      <c r="I40" t="s">
        <v>532</v>
      </c>
      <c r="J40" t="s">
        <v>39</v>
      </c>
      <c r="K40">
        <v>0</v>
      </c>
      <c r="L40">
        <v>0</v>
      </c>
      <c r="M40" s="8">
        <v>0</v>
      </c>
      <c r="N40">
        <v>0</v>
      </c>
      <c r="O40">
        <v>0</v>
      </c>
      <c r="P40">
        <v>0</v>
      </c>
      <c r="Q40" s="8">
        <v>6000</v>
      </c>
      <c r="R40" s="12"/>
      <c r="S40" s="8"/>
    </row>
    <row r="41" spans="1:19" x14ac:dyDescent="0.3">
      <c r="A41" t="s">
        <v>339</v>
      </c>
      <c r="B41" t="str">
        <f>IF(SITUACION_COMPLETO[[#This Row],[PROXIMO INGRESO ESTIMADO]]&gt;0,"SI","NO")</f>
        <v>NO</v>
      </c>
      <c r="C41">
        <v>0</v>
      </c>
      <c r="D41" t="s">
        <v>75</v>
      </c>
      <c r="E41" t="s">
        <v>187</v>
      </c>
      <c r="F41" t="s">
        <v>38</v>
      </c>
      <c r="G41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1" t="s">
        <v>281</v>
      </c>
      <c r="I41" t="s">
        <v>532</v>
      </c>
      <c r="J41" t="s">
        <v>39</v>
      </c>
      <c r="K41">
        <v>0</v>
      </c>
      <c r="L41">
        <v>0</v>
      </c>
      <c r="M41" s="8">
        <v>0</v>
      </c>
      <c r="N41">
        <v>0</v>
      </c>
      <c r="O41">
        <v>0</v>
      </c>
      <c r="P41">
        <v>0</v>
      </c>
      <c r="Q41" s="8">
        <v>3000</v>
      </c>
      <c r="R41" s="12"/>
      <c r="S41" s="8"/>
    </row>
    <row r="42" spans="1:19" x14ac:dyDescent="0.3">
      <c r="A42" t="s">
        <v>412</v>
      </c>
      <c r="B42" t="str">
        <f>IF(SITUACION_COMPLETO[[#This Row],[PROXIMO INGRESO ESTIMADO]]&gt;0,"SI","NO")</f>
        <v>NO</v>
      </c>
      <c r="C42">
        <v>0</v>
      </c>
      <c r="D42" t="s">
        <v>135</v>
      </c>
      <c r="E42" t="s">
        <v>252</v>
      </c>
      <c r="F42" t="str">
        <f>+VLOOKUP(SITUACION_COMPLETO[[#This Row],[CODIGO]],[1]Sheet1!$A:$C,3,0)</f>
        <v>ILUMINACION</v>
      </c>
      <c r="G42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42" t="s">
        <v>281</v>
      </c>
      <c r="I42" t="str">
        <f>+VLOOKUP(SITUACION_COMPLETO[[#This Row],[CODIGO]],[1]Sheet1!$A:$D,4,0)</f>
        <v>PANELES LED</v>
      </c>
      <c r="J42" t="s">
        <v>39</v>
      </c>
      <c r="K42">
        <v>0</v>
      </c>
      <c r="L42">
        <v>142</v>
      </c>
      <c r="M42" s="8">
        <v>120</v>
      </c>
      <c r="N42">
        <v>142</v>
      </c>
      <c r="O42">
        <v>22</v>
      </c>
      <c r="P42">
        <v>120</v>
      </c>
      <c r="Q42" s="8">
        <v>3990</v>
      </c>
      <c r="R42" s="12"/>
      <c r="S42" s="8"/>
    </row>
    <row r="43" spans="1:19" x14ac:dyDescent="0.3">
      <c r="A43" t="s">
        <v>340</v>
      </c>
      <c r="B43" t="str">
        <f>IF(SITUACION_COMPLETO[[#This Row],[PROXIMO INGRESO ESTIMADO]]&gt;0,"SI","NO")</f>
        <v>NO</v>
      </c>
      <c r="C43">
        <v>0</v>
      </c>
      <c r="D43" t="s">
        <v>77</v>
      </c>
      <c r="E43" t="s">
        <v>189</v>
      </c>
      <c r="F43" t="s">
        <v>38</v>
      </c>
      <c r="G43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3" t="s">
        <v>281</v>
      </c>
      <c r="I43" t="s">
        <v>532</v>
      </c>
      <c r="J43" t="s">
        <v>39</v>
      </c>
      <c r="K43">
        <v>0</v>
      </c>
      <c r="L43">
        <v>0</v>
      </c>
      <c r="M43" s="8">
        <v>0</v>
      </c>
      <c r="N43">
        <v>0</v>
      </c>
      <c r="O43">
        <v>0</v>
      </c>
      <c r="P43">
        <v>0</v>
      </c>
      <c r="Q43" s="8">
        <v>2000</v>
      </c>
      <c r="R43" s="12"/>
      <c r="S43" s="8"/>
    </row>
    <row r="44" spans="1:19" x14ac:dyDescent="0.3">
      <c r="A44" t="s">
        <v>384</v>
      </c>
      <c r="B44" t="str">
        <f>IF(SITUACION_COMPLETO[[#This Row],[PROXIMO INGRESO ESTIMADO]]&gt;0,"SI","NO")</f>
        <v>NO</v>
      </c>
      <c r="C44">
        <v>0</v>
      </c>
      <c r="D44" t="s">
        <v>137</v>
      </c>
      <c r="E44" t="s">
        <v>254</v>
      </c>
      <c r="F44" t="str">
        <f>+VLOOKUP(SITUACION_COMPLETO[[#This Row],[CODIGO]],[1]Sheet1!$A:$C,3,0)</f>
        <v>ILUMINACION</v>
      </c>
      <c r="G44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44" t="s">
        <v>281</v>
      </c>
      <c r="I44" t="str">
        <f>+VLOOKUP(SITUACION_COMPLETO[[#This Row],[CODIGO]],[1]Sheet1!$A:$D,4,0)</f>
        <v>PANELES LED</v>
      </c>
      <c r="J44" t="s">
        <v>39</v>
      </c>
      <c r="K44">
        <v>0</v>
      </c>
      <c r="L44">
        <v>100</v>
      </c>
      <c r="M44" s="8">
        <v>64</v>
      </c>
      <c r="N44">
        <v>100</v>
      </c>
      <c r="O44">
        <v>36</v>
      </c>
      <c r="P44">
        <v>64</v>
      </c>
      <c r="Q44" s="8">
        <v>3000</v>
      </c>
      <c r="R44" s="12"/>
      <c r="S44" s="8"/>
    </row>
    <row r="45" spans="1:19" x14ac:dyDescent="0.3">
      <c r="A45" t="s">
        <v>341</v>
      </c>
      <c r="B45" t="str">
        <f>IF(SITUACION_COMPLETO[[#This Row],[PROXIMO INGRESO ESTIMADO]]&gt;0,"SI","NO")</f>
        <v>NO</v>
      </c>
      <c r="C45">
        <v>0</v>
      </c>
      <c r="D45" t="s">
        <v>78</v>
      </c>
      <c r="E45" t="s">
        <v>190</v>
      </c>
      <c r="F45" t="s">
        <v>38</v>
      </c>
      <c r="G45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5" t="s">
        <v>281</v>
      </c>
      <c r="I45" t="s">
        <v>532</v>
      </c>
      <c r="J45" t="s">
        <v>39</v>
      </c>
      <c r="K45">
        <v>0</v>
      </c>
      <c r="L45">
        <v>0</v>
      </c>
      <c r="M45" s="8">
        <v>0</v>
      </c>
      <c r="N45">
        <v>0</v>
      </c>
      <c r="O45">
        <v>0</v>
      </c>
      <c r="P45">
        <v>0</v>
      </c>
      <c r="Q45" s="8">
        <v>2000</v>
      </c>
      <c r="R45" s="12"/>
      <c r="S45" s="8"/>
    </row>
    <row r="46" spans="1:19" x14ac:dyDescent="0.3">
      <c r="A46" t="s">
        <v>343</v>
      </c>
      <c r="B46" t="str">
        <f>IF(SITUACION_COMPLETO[[#This Row],[PROXIMO INGRESO ESTIMADO]]&gt;0,"SI","NO")</f>
        <v>NO</v>
      </c>
      <c r="C46">
        <v>0</v>
      </c>
      <c r="D46" t="s">
        <v>79</v>
      </c>
      <c r="E46" t="s">
        <v>191</v>
      </c>
      <c r="F46" t="s">
        <v>38</v>
      </c>
      <c r="G46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6" t="s">
        <v>281</v>
      </c>
      <c r="I46" t="s">
        <v>532</v>
      </c>
      <c r="J46" t="s">
        <v>39</v>
      </c>
      <c r="K46">
        <v>0</v>
      </c>
      <c r="L46">
        <v>0</v>
      </c>
      <c r="M46" s="8">
        <v>0</v>
      </c>
      <c r="N46">
        <v>0</v>
      </c>
      <c r="O46">
        <v>0</v>
      </c>
      <c r="P46">
        <v>0</v>
      </c>
      <c r="Q46" s="8">
        <v>4000</v>
      </c>
      <c r="R46" s="12"/>
      <c r="S46" s="8"/>
    </row>
    <row r="47" spans="1:19" x14ac:dyDescent="0.3">
      <c r="A47" t="s">
        <v>344</v>
      </c>
      <c r="B47" t="str">
        <f>IF(SITUACION_COMPLETO[[#This Row],[PROXIMO INGRESO ESTIMADO]]&gt;0,"SI","NO")</f>
        <v>NO</v>
      </c>
      <c r="C47">
        <v>0</v>
      </c>
      <c r="D47" t="s">
        <v>80</v>
      </c>
      <c r="E47" t="s">
        <v>192</v>
      </c>
      <c r="F47" t="s">
        <v>38</v>
      </c>
      <c r="G47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7" t="s">
        <v>281</v>
      </c>
      <c r="I47" t="s">
        <v>532</v>
      </c>
      <c r="J47" t="s">
        <v>39</v>
      </c>
      <c r="K47">
        <v>0</v>
      </c>
      <c r="L47">
        <v>0</v>
      </c>
      <c r="M47" s="8">
        <v>0</v>
      </c>
      <c r="N47">
        <v>0</v>
      </c>
      <c r="O47">
        <v>0</v>
      </c>
      <c r="P47">
        <v>0</v>
      </c>
      <c r="Q47" s="8">
        <v>3000</v>
      </c>
      <c r="R47" s="12"/>
      <c r="S47" s="8"/>
    </row>
    <row r="48" spans="1:19" x14ac:dyDescent="0.3">
      <c r="A48" t="s">
        <v>345</v>
      </c>
      <c r="B48" t="str">
        <f>IF(SITUACION_COMPLETO[[#This Row],[PROXIMO INGRESO ESTIMADO]]&gt;0,"SI","NO")</f>
        <v>NO</v>
      </c>
      <c r="C48">
        <v>0</v>
      </c>
      <c r="D48" t="s">
        <v>82</v>
      </c>
      <c r="E48" t="s">
        <v>194</v>
      </c>
      <c r="F48" t="s">
        <v>38</v>
      </c>
      <c r="G4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8" t="s">
        <v>281</v>
      </c>
      <c r="I48" t="s">
        <v>532</v>
      </c>
      <c r="J48" t="s">
        <v>39</v>
      </c>
      <c r="K48">
        <v>0</v>
      </c>
      <c r="L48">
        <v>0</v>
      </c>
      <c r="M48" s="8">
        <v>0</v>
      </c>
      <c r="N48">
        <v>0</v>
      </c>
      <c r="O48">
        <v>0</v>
      </c>
      <c r="P48">
        <v>0</v>
      </c>
      <c r="Q48" s="8">
        <v>6000</v>
      </c>
      <c r="R48" s="12"/>
      <c r="S48" s="8"/>
    </row>
    <row r="49" spans="1:19" x14ac:dyDescent="0.3">
      <c r="A49" t="s">
        <v>346</v>
      </c>
      <c r="B49" t="str">
        <f>IF(SITUACION_COMPLETO[[#This Row],[PROXIMO INGRESO ESTIMADO]]&gt;0,"SI","NO")</f>
        <v>NO</v>
      </c>
      <c r="C49">
        <v>0</v>
      </c>
      <c r="D49" t="s">
        <v>83</v>
      </c>
      <c r="E49" t="s">
        <v>195</v>
      </c>
      <c r="F49" t="s">
        <v>38</v>
      </c>
      <c r="G4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49" t="s">
        <v>281</v>
      </c>
      <c r="I49" t="s">
        <v>532</v>
      </c>
      <c r="J49" t="s">
        <v>39</v>
      </c>
      <c r="K49">
        <v>0</v>
      </c>
      <c r="L49">
        <v>0</v>
      </c>
      <c r="M49" s="8">
        <v>0</v>
      </c>
      <c r="N49">
        <v>0</v>
      </c>
      <c r="O49">
        <v>0</v>
      </c>
      <c r="P49">
        <v>0</v>
      </c>
      <c r="Q49" s="8">
        <v>3000</v>
      </c>
      <c r="R49" s="12"/>
      <c r="S49" s="8"/>
    </row>
    <row r="50" spans="1:19" x14ac:dyDescent="0.3">
      <c r="A50" t="s">
        <v>347</v>
      </c>
      <c r="B50" t="str">
        <f>IF(SITUACION_COMPLETO[[#This Row],[PROXIMO INGRESO ESTIMADO]]&gt;0,"SI","NO")</f>
        <v>NO</v>
      </c>
      <c r="C50">
        <v>0</v>
      </c>
      <c r="D50" t="s">
        <v>85</v>
      </c>
      <c r="E50" t="s">
        <v>196</v>
      </c>
      <c r="F50" t="s">
        <v>38</v>
      </c>
      <c r="G5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0" t="s">
        <v>281</v>
      </c>
      <c r="I50" t="s">
        <v>532</v>
      </c>
      <c r="J50" t="s">
        <v>39</v>
      </c>
      <c r="K50">
        <v>0</v>
      </c>
      <c r="L50">
        <v>0</v>
      </c>
      <c r="M50" s="8">
        <v>0</v>
      </c>
      <c r="N50">
        <v>0</v>
      </c>
      <c r="O50">
        <v>0</v>
      </c>
      <c r="P50">
        <v>0</v>
      </c>
      <c r="Q50" s="8">
        <v>2000</v>
      </c>
      <c r="R50" s="12"/>
      <c r="S50" s="8"/>
    </row>
    <row r="51" spans="1:19" x14ac:dyDescent="0.3">
      <c r="A51" t="s">
        <v>349</v>
      </c>
      <c r="B51" t="str">
        <f>IF(SITUACION_COMPLETO[[#This Row],[PROXIMO INGRESO ESTIMADO]]&gt;0,"SI","NO")</f>
        <v>NO</v>
      </c>
      <c r="C51">
        <v>0</v>
      </c>
      <c r="D51" t="s">
        <v>86</v>
      </c>
      <c r="E51" t="s">
        <v>197</v>
      </c>
      <c r="F51" t="s">
        <v>38</v>
      </c>
      <c r="G51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1" t="s">
        <v>281</v>
      </c>
      <c r="I51" t="s">
        <v>532</v>
      </c>
      <c r="J51" t="s">
        <v>39</v>
      </c>
      <c r="K51">
        <v>0</v>
      </c>
      <c r="L51">
        <v>0</v>
      </c>
      <c r="M51" s="8">
        <v>0</v>
      </c>
      <c r="N51">
        <v>0</v>
      </c>
      <c r="O51">
        <v>0</v>
      </c>
      <c r="P51">
        <v>0</v>
      </c>
      <c r="Q51" s="8">
        <v>2000</v>
      </c>
      <c r="R51" s="12"/>
      <c r="S51" s="8"/>
    </row>
    <row r="52" spans="1:19" x14ac:dyDescent="0.3">
      <c r="A52" t="s">
        <v>351</v>
      </c>
      <c r="B52" t="str">
        <f>IF(SITUACION_COMPLETO[[#This Row],[PROXIMO INGRESO ESTIMADO]]&gt;0,"SI","NO")</f>
        <v>NO</v>
      </c>
      <c r="C52">
        <v>0</v>
      </c>
      <c r="D52" t="s">
        <v>87</v>
      </c>
      <c r="E52" t="s">
        <v>198</v>
      </c>
      <c r="F52" t="s">
        <v>38</v>
      </c>
      <c r="G52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2" t="s">
        <v>281</v>
      </c>
      <c r="I52" t="s">
        <v>532</v>
      </c>
      <c r="J52" t="s">
        <v>39</v>
      </c>
      <c r="K52">
        <v>0</v>
      </c>
      <c r="L52">
        <v>0</v>
      </c>
      <c r="M52" s="8">
        <v>0</v>
      </c>
      <c r="N52">
        <v>0</v>
      </c>
      <c r="O52">
        <v>0</v>
      </c>
      <c r="P52">
        <v>0</v>
      </c>
      <c r="Q52" s="8">
        <v>4000</v>
      </c>
      <c r="R52" s="12"/>
      <c r="S52" s="8"/>
    </row>
    <row r="53" spans="1:19" x14ac:dyDescent="0.3">
      <c r="B53" t="str">
        <f>IF(SITUACION_COMPLETO[[#This Row],[PROXIMO INGRESO ESTIMADO]]&gt;0,"SI","NO")</f>
        <v>NO</v>
      </c>
      <c r="C53">
        <v>0</v>
      </c>
      <c r="D53" t="s">
        <v>429</v>
      </c>
      <c r="E53" t="s">
        <v>443</v>
      </c>
      <c r="F53" t="s">
        <v>523</v>
      </c>
      <c r="G53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3" t="s">
        <v>280</v>
      </c>
      <c r="I53" t="s">
        <v>533</v>
      </c>
      <c r="J53" t="s">
        <v>6</v>
      </c>
      <c r="K53">
        <v>0</v>
      </c>
      <c r="L53">
        <v>0</v>
      </c>
      <c r="M53" s="8">
        <v>0</v>
      </c>
      <c r="N53">
        <v>0</v>
      </c>
      <c r="O53">
        <v>0</v>
      </c>
      <c r="P53">
        <v>0</v>
      </c>
      <c r="Q53" s="8">
        <v>0</v>
      </c>
      <c r="R53" s="12"/>
      <c r="S53" s="8"/>
    </row>
    <row r="54" spans="1:19" x14ac:dyDescent="0.3">
      <c r="B54" t="str">
        <f>IF(SITUACION_COMPLETO[[#This Row],[PROXIMO INGRESO ESTIMADO]]&gt;0,"SI","NO")</f>
        <v>NO</v>
      </c>
      <c r="C54">
        <v>0</v>
      </c>
      <c r="D54" t="s">
        <v>421</v>
      </c>
      <c r="E54" t="s">
        <v>444</v>
      </c>
      <c r="F54" t="s">
        <v>523</v>
      </c>
      <c r="G54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4" t="s">
        <v>280</v>
      </c>
      <c r="I54" t="s">
        <v>533</v>
      </c>
      <c r="J54" t="s">
        <v>6</v>
      </c>
      <c r="K54">
        <v>0</v>
      </c>
      <c r="L54">
        <v>0</v>
      </c>
      <c r="M54" s="8">
        <v>0</v>
      </c>
      <c r="N54">
        <v>0</v>
      </c>
      <c r="O54">
        <v>0</v>
      </c>
      <c r="P54">
        <v>0</v>
      </c>
      <c r="Q54" s="8">
        <v>0</v>
      </c>
      <c r="R54" s="12"/>
      <c r="S54" s="8"/>
    </row>
    <row r="55" spans="1:19" x14ac:dyDescent="0.3">
      <c r="B55" t="str">
        <f>IF(SITUACION_COMPLETO[[#This Row],[PROXIMO INGRESO ESTIMADO]]&gt;0,"SI","NO")</f>
        <v>NO</v>
      </c>
      <c r="C55">
        <v>0</v>
      </c>
      <c r="D55" t="s">
        <v>294</v>
      </c>
      <c r="E55" t="s">
        <v>295</v>
      </c>
      <c r="F55" t="s">
        <v>263</v>
      </c>
      <c r="G55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5" t="s">
        <v>280</v>
      </c>
      <c r="I55" t="s">
        <v>237</v>
      </c>
      <c r="J55" t="s">
        <v>13</v>
      </c>
      <c r="K55">
        <v>0</v>
      </c>
      <c r="L55">
        <v>0</v>
      </c>
      <c r="M55" s="8">
        <v>0</v>
      </c>
      <c r="N55">
        <v>0</v>
      </c>
      <c r="O55">
        <v>0</v>
      </c>
      <c r="P55">
        <v>0</v>
      </c>
      <c r="Q55" s="8">
        <v>0</v>
      </c>
      <c r="R55" s="12"/>
      <c r="S55" s="8"/>
    </row>
    <row r="56" spans="1:19" x14ac:dyDescent="0.3">
      <c r="B56" t="str">
        <f>IF(SITUACION_COMPLETO[[#This Row],[PROXIMO INGRESO ESTIMADO]]&gt;0,"SI","NO")</f>
        <v>NO</v>
      </c>
      <c r="C56">
        <v>0</v>
      </c>
      <c r="D56" t="s">
        <v>296</v>
      </c>
      <c r="E56" t="s">
        <v>297</v>
      </c>
      <c r="F56" t="s">
        <v>263</v>
      </c>
      <c r="G56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6" t="s">
        <v>280</v>
      </c>
      <c r="I56" t="s">
        <v>237</v>
      </c>
      <c r="J56" t="s">
        <v>13</v>
      </c>
      <c r="K56">
        <v>0</v>
      </c>
      <c r="L56">
        <v>0</v>
      </c>
      <c r="M56" s="8">
        <v>0</v>
      </c>
      <c r="N56">
        <v>0</v>
      </c>
      <c r="O56">
        <v>0</v>
      </c>
      <c r="P56">
        <v>0</v>
      </c>
      <c r="Q56" s="8">
        <v>0</v>
      </c>
      <c r="R56" s="12"/>
      <c r="S56" s="8"/>
    </row>
    <row r="57" spans="1:19" x14ac:dyDescent="0.3">
      <c r="A57" t="s">
        <v>355</v>
      </c>
      <c r="B57" t="str">
        <f>IF(SITUACION_COMPLETO[[#This Row],[PROXIMO INGRESO ESTIMADO]]&gt;0,"SI","NO")</f>
        <v>NO</v>
      </c>
      <c r="C57">
        <v>0</v>
      </c>
      <c r="D57" t="s">
        <v>88</v>
      </c>
      <c r="E57" t="s">
        <v>199</v>
      </c>
      <c r="F57" t="s">
        <v>38</v>
      </c>
      <c r="G57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7" t="s">
        <v>281</v>
      </c>
      <c r="I57" t="s">
        <v>532</v>
      </c>
      <c r="J57" t="s">
        <v>39</v>
      </c>
      <c r="K57">
        <v>0</v>
      </c>
      <c r="L57">
        <v>0</v>
      </c>
      <c r="M57" s="8">
        <v>0</v>
      </c>
      <c r="N57">
        <v>0</v>
      </c>
      <c r="O57">
        <v>0</v>
      </c>
      <c r="P57">
        <v>0</v>
      </c>
      <c r="Q57" s="8">
        <v>3000</v>
      </c>
      <c r="R57" s="12"/>
      <c r="S57" s="8"/>
    </row>
    <row r="58" spans="1:19" x14ac:dyDescent="0.3">
      <c r="A58" t="s">
        <v>357</v>
      </c>
      <c r="B58" t="str">
        <f>IF(SITUACION_COMPLETO[[#This Row],[PROXIMO INGRESO ESTIMADO]]&gt;0,"SI","NO")</f>
        <v>NO</v>
      </c>
      <c r="C58">
        <v>0</v>
      </c>
      <c r="D58" t="s">
        <v>89</v>
      </c>
      <c r="E58" t="s">
        <v>200</v>
      </c>
      <c r="F58" t="s">
        <v>38</v>
      </c>
      <c r="G5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8" t="s">
        <v>281</v>
      </c>
      <c r="I58" t="s">
        <v>532</v>
      </c>
      <c r="J58" t="s">
        <v>39</v>
      </c>
      <c r="K58">
        <v>0</v>
      </c>
      <c r="L58">
        <v>0</v>
      </c>
      <c r="M58" s="8">
        <v>0</v>
      </c>
      <c r="N58">
        <v>0</v>
      </c>
      <c r="O58">
        <v>0</v>
      </c>
      <c r="P58">
        <v>0</v>
      </c>
      <c r="Q58" s="8">
        <v>6000</v>
      </c>
      <c r="R58" s="12"/>
      <c r="S58" s="8"/>
    </row>
    <row r="59" spans="1:19" x14ac:dyDescent="0.3">
      <c r="A59" t="s">
        <v>359</v>
      </c>
      <c r="B59" t="str">
        <f>IF(SITUACION_COMPLETO[[#This Row],[PROXIMO INGRESO ESTIMADO]]&gt;0,"SI","NO")</f>
        <v>NO</v>
      </c>
      <c r="C59">
        <v>0</v>
      </c>
      <c r="D59" t="s">
        <v>91</v>
      </c>
      <c r="E59" t="s">
        <v>202</v>
      </c>
      <c r="F59" t="s">
        <v>38</v>
      </c>
      <c r="G5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59" t="s">
        <v>281</v>
      </c>
      <c r="I59" t="s">
        <v>532</v>
      </c>
      <c r="J59" t="s">
        <v>39</v>
      </c>
      <c r="K59">
        <v>0</v>
      </c>
      <c r="L59">
        <v>0</v>
      </c>
      <c r="M59" s="8">
        <v>0</v>
      </c>
      <c r="N59">
        <v>0</v>
      </c>
      <c r="O59">
        <v>0</v>
      </c>
      <c r="P59">
        <v>0</v>
      </c>
      <c r="Q59" s="8">
        <v>3000</v>
      </c>
      <c r="R59" s="12"/>
      <c r="S59" s="8"/>
    </row>
    <row r="60" spans="1:19" x14ac:dyDescent="0.3">
      <c r="A60" t="s">
        <v>360</v>
      </c>
      <c r="B60" t="str">
        <f>IF(SITUACION_COMPLETO[[#This Row],[PROXIMO INGRESO ESTIMADO]]&gt;0,"SI","NO")</f>
        <v>NO</v>
      </c>
      <c r="C60">
        <v>0</v>
      </c>
      <c r="D60" t="s">
        <v>93</v>
      </c>
      <c r="E60" t="s">
        <v>204</v>
      </c>
      <c r="F60" t="s">
        <v>38</v>
      </c>
      <c r="G6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0" t="s">
        <v>281</v>
      </c>
      <c r="I60" t="s">
        <v>532</v>
      </c>
      <c r="J60" t="s">
        <v>39</v>
      </c>
      <c r="K60">
        <v>0</v>
      </c>
      <c r="L60">
        <v>0</v>
      </c>
      <c r="M60" s="8">
        <v>0</v>
      </c>
      <c r="N60">
        <v>0</v>
      </c>
      <c r="O60">
        <v>0</v>
      </c>
      <c r="P60">
        <v>0</v>
      </c>
      <c r="Q60" s="8">
        <v>2000</v>
      </c>
      <c r="R60" s="12"/>
      <c r="S60" s="8"/>
    </row>
    <row r="61" spans="1:19" x14ac:dyDescent="0.3">
      <c r="A61" t="s">
        <v>361</v>
      </c>
      <c r="B61" t="str">
        <f>IF(SITUACION_COMPLETO[[#This Row],[PROXIMO INGRESO ESTIMADO]]&gt;0,"SI","NO")</f>
        <v>NO</v>
      </c>
      <c r="C61">
        <v>0</v>
      </c>
      <c r="D61" t="s">
        <v>94</v>
      </c>
      <c r="E61" t="s">
        <v>205</v>
      </c>
      <c r="F61" t="s">
        <v>38</v>
      </c>
      <c r="G61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1" t="s">
        <v>281</v>
      </c>
      <c r="I61" t="s">
        <v>532</v>
      </c>
      <c r="J61" t="s">
        <v>39</v>
      </c>
      <c r="K61">
        <v>0</v>
      </c>
      <c r="L61">
        <v>0</v>
      </c>
      <c r="M61" s="8">
        <v>0</v>
      </c>
      <c r="N61">
        <v>0</v>
      </c>
      <c r="O61">
        <v>0</v>
      </c>
      <c r="P61">
        <v>0</v>
      </c>
      <c r="Q61" s="8">
        <v>2000</v>
      </c>
      <c r="R61" s="12"/>
      <c r="S61" s="8"/>
    </row>
    <row r="62" spans="1:19" x14ac:dyDescent="0.3">
      <c r="A62" t="s">
        <v>363</v>
      </c>
      <c r="B62" t="str">
        <f>IF(SITUACION_COMPLETO[[#This Row],[PROXIMO INGRESO ESTIMADO]]&gt;0,"SI","NO")</f>
        <v>NO</v>
      </c>
      <c r="C62">
        <v>0</v>
      </c>
      <c r="D62" t="s">
        <v>96</v>
      </c>
      <c r="E62" t="s">
        <v>207</v>
      </c>
      <c r="F62" t="s">
        <v>38</v>
      </c>
      <c r="G62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2" t="s">
        <v>281</v>
      </c>
      <c r="I62" t="s">
        <v>532</v>
      </c>
      <c r="J62" t="s">
        <v>39</v>
      </c>
      <c r="K62">
        <v>0</v>
      </c>
      <c r="L62">
        <v>0</v>
      </c>
      <c r="M62" s="8">
        <v>0</v>
      </c>
      <c r="N62">
        <v>0</v>
      </c>
      <c r="O62">
        <v>0</v>
      </c>
      <c r="P62">
        <v>0</v>
      </c>
      <c r="Q62" s="8">
        <v>4000</v>
      </c>
      <c r="R62" s="12"/>
      <c r="S62" s="8"/>
    </row>
    <row r="63" spans="1:19" x14ac:dyDescent="0.3">
      <c r="A63" t="s">
        <v>364</v>
      </c>
      <c r="B63" t="str">
        <f>IF(SITUACION_COMPLETO[[#This Row],[PROXIMO INGRESO ESTIMADO]]&gt;0,"SI","NO")</f>
        <v>NO</v>
      </c>
      <c r="C63">
        <v>0</v>
      </c>
      <c r="D63" t="s">
        <v>98</v>
      </c>
      <c r="E63" t="s">
        <v>209</v>
      </c>
      <c r="F63" t="s">
        <v>38</v>
      </c>
      <c r="G63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3" t="s">
        <v>281</v>
      </c>
      <c r="I63" t="s">
        <v>532</v>
      </c>
      <c r="J63" t="s">
        <v>39</v>
      </c>
      <c r="K63">
        <v>0</v>
      </c>
      <c r="L63">
        <v>0</v>
      </c>
      <c r="M63" s="8">
        <v>0</v>
      </c>
      <c r="N63">
        <v>0</v>
      </c>
      <c r="O63">
        <v>0</v>
      </c>
      <c r="P63">
        <v>0</v>
      </c>
      <c r="Q63" s="8">
        <v>3000</v>
      </c>
      <c r="R63" s="12"/>
      <c r="S63" s="8"/>
    </row>
    <row r="64" spans="1:19" x14ac:dyDescent="0.3">
      <c r="A64" t="s">
        <v>365</v>
      </c>
      <c r="B64" t="str">
        <f>IF(SITUACION_COMPLETO[[#This Row],[PROXIMO INGRESO ESTIMADO]]&gt;0,"SI","NO")</f>
        <v>NO</v>
      </c>
      <c r="C64">
        <v>0</v>
      </c>
      <c r="D64" t="s">
        <v>99</v>
      </c>
      <c r="E64" t="s">
        <v>210</v>
      </c>
      <c r="F64" t="s">
        <v>38</v>
      </c>
      <c r="G64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4" t="s">
        <v>281</v>
      </c>
      <c r="I64" t="s">
        <v>532</v>
      </c>
      <c r="J64" t="s">
        <v>39</v>
      </c>
      <c r="K64">
        <v>0</v>
      </c>
      <c r="L64">
        <v>0</v>
      </c>
      <c r="M64" s="8">
        <v>0</v>
      </c>
      <c r="N64">
        <v>0</v>
      </c>
      <c r="O64">
        <v>0</v>
      </c>
      <c r="P64">
        <v>0</v>
      </c>
      <c r="Q64" s="8">
        <v>6000</v>
      </c>
      <c r="R64" s="12"/>
      <c r="S64" s="8"/>
    </row>
    <row r="65" spans="1:19" x14ac:dyDescent="0.3">
      <c r="A65" t="s">
        <v>366</v>
      </c>
      <c r="B65" t="str">
        <f>IF(SITUACION_COMPLETO[[#This Row],[PROXIMO INGRESO ESTIMADO]]&gt;0,"SI","NO")</f>
        <v>NO</v>
      </c>
      <c r="C65">
        <v>0</v>
      </c>
      <c r="D65" t="s">
        <v>100</v>
      </c>
      <c r="E65" t="s">
        <v>211</v>
      </c>
      <c r="F65" t="s">
        <v>38</v>
      </c>
      <c r="G65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5" t="s">
        <v>281</v>
      </c>
      <c r="I65" t="s">
        <v>532</v>
      </c>
      <c r="J65" t="s">
        <v>39</v>
      </c>
      <c r="K65">
        <v>0</v>
      </c>
      <c r="L65">
        <v>0</v>
      </c>
      <c r="M65" s="8">
        <v>0</v>
      </c>
      <c r="N65">
        <v>0</v>
      </c>
      <c r="O65">
        <v>0</v>
      </c>
      <c r="P65">
        <v>0</v>
      </c>
      <c r="Q65" s="8">
        <v>3000</v>
      </c>
      <c r="R65" s="12"/>
      <c r="S65" s="8"/>
    </row>
    <row r="66" spans="1:19" x14ac:dyDescent="0.3">
      <c r="A66" t="s">
        <v>367</v>
      </c>
      <c r="B66" t="str">
        <f>IF(SITUACION_COMPLETO[[#This Row],[PROXIMO INGRESO ESTIMADO]]&gt;0,"SI","NO")</f>
        <v>NO</v>
      </c>
      <c r="C66">
        <v>0</v>
      </c>
      <c r="D66" t="s">
        <v>102</v>
      </c>
      <c r="E66" t="s">
        <v>213</v>
      </c>
      <c r="F66" t="s">
        <v>38</v>
      </c>
      <c r="G66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6" t="s">
        <v>281</v>
      </c>
      <c r="I66" t="s">
        <v>532</v>
      </c>
      <c r="J66" t="s">
        <v>39</v>
      </c>
      <c r="K66">
        <v>0</v>
      </c>
      <c r="L66">
        <v>0</v>
      </c>
      <c r="M66" s="8">
        <v>0</v>
      </c>
      <c r="N66">
        <v>0</v>
      </c>
      <c r="O66">
        <v>0</v>
      </c>
      <c r="P66">
        <v>0</v>
      </c>
      <c r="Q66" s="8">
        <v>2000</v>
      </c>
      <c r="R66" s="12"/>
      <c r="S66" s="8"/>
    </row>
    <row r="67" spans="1:19" x14ac:dyDescent="0.3">
      <c r="A67" t="s">
        <v>368</v>
      </c>
      <c r="B67" t="str">
        <f>IF(SITUACION_COMPLETO[[#This Row],[PROXIMO INGRESO ESTIMADO]]&gt;0,"SI","NO")</f>
        <v>NO</v>
      </c>
      <c r="C67">
        <v>0</v>
      </c>
      <c r="D67" t="s">
        <v>103</v>
      </c>
      <c r="E67" t="s">
        <v>214</v>
      </c>
      <c r="F67" t="s">
        <v>38</v>
      </c>
      <c r="G67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7" t="s">
        <v>281</v>
      </c>
      <c r="I67" t="s">
        <v>532</v>
      </c>
      <c r="J67" t="s">
        <v>39</v>
      </c>
      <c r="K67">
        <v>0</v>
      </c>
      <c r="L67">
        <v>0</v>
      </c>
      <c r="M67" s="8">
        <v>0</v>
      </c>
      <c r="N67">
        <v>0</v>
      </c>
      <c r="O67">
        <v>0</v>
      </c>
      <c r="P67">
        <v>0</v>
      </c>
      <c r="Q67" s="8">
        <v>2000</v>
      </c>
      <c r="R67" s="12"/>
      <c r="S67" s="8"/>
    </row>
    <row r="68" spans="1:19" x14ac:dyDescent="0.3">
      <c r="A68" t="s">
        <v>370</v>
      </c>
      <c r="B68" t="str">
        <f>IF(SITUACION_COMPLETO[[#This Row],[PROXIMO INGRESO ESTIMADO]]&gt;0,"SI","NO")</f>
        <v>NO</v>
      </c>
      <c r="C68">
        <v>0</v>
      </c>
      <c r="D68" t="s">
        <v>105</v>
      </c>
      <c r="E68" t="s">
        <v>216</v>
      </c>
      <c r="F68" t="s">
        <v>38</v>
      </c>
      <c r="G6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8" t="s">
        <v>281</v>
      </c>
      <c r="I68" t="s">
        <v>532</v>
      </c>
      <c r="J68" t="s">
        <v>39</v>
      </c>
      <c r="K68">
        <v>0</v>
      </c>
      <c r="L68">
        <v>0</v>
      </c>
      <c r="M68" s="8">
        <v>0</v>
      </c>
      <c r="N68">
        <v>0</v>
      </c>
      <c r="O68">
        <v>0</v>
      </c>
      <c r="P68">
        <v>0</v>
      </c>
      <c r="Q68" s="8">
        <v>4000</v>
      </c>
      <c r="R68" s="12"/>
      <c r="S68" s="8"/>
    </row>
    <row r="69" spans="1:19" x14ac:dyDescent="0.3">
      <c r="A69" t="s">
        <v>372</v>
      </c>
      <c r="B69" t="str">
        <f>IF(SITUACION_COMPLETO[[#This Row],[PROXIMO INGRESO ESTIMADO]]&gt;0,"SI","NO")</f>
        <v>SI</v>
      </c>
      <c r="C69">
        <v>0</v>
      </c>
      <c r="D69" t="s">
        <v>106</v>
      </c>
      <c r="E69" t="s">
        <v>272</v>
      </c>
      <c r="F69" t="s">
        <v>8</v>
      </c>
      <c r="G6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69" t="s">
        <v>281</v>
      </c>
      <c r="I69" t="s">
        <v>273</v>
      </c>
      <c r="J69" t="s">
        <v>6</v>
      </c>
      <c r="K69">
        <v>0</v>
      </c>
      <c r="L69">
        <v>0</v>
      </c>
      <c r="M69" s="8">
        <v>0</v>
      </c>
      <c r="N69">
        <v>0</v>
      </c>
      <c r="O69">
        <v>0</v>
      </c>
      <c r="P69">
        <v>0</v>
      </c>
      <c r="Q69" s="8">
        <v>0</v>
      </c>
      <c r="R69" s="12">
        <v>46197</v>
      </c>
      <c r="S69" s="8">
        <v>1000</v>
      </c>
    </row>
    <row r="70" spans="1:19" x14ac:dyDescent="0.3">
      <c r="B70" t="str">
        <f>IF(SITUACION_COMPLETO[[#This Row],[PROXIMO INGRESO ESTIMADO]]&gt;0,"SI","NO")</f>
        <v>NO</v>
      </c>
      <c r="C70">
        <v>0</v>
      </c>
      <c r="D70" t="s">
        <v>499</v>
      </c>
      <c r="E70" t="s">
        <v>499</v>
      </c>
      <c r="F70" t="s">
        <v>5</v>
      </c>
      <c r="G7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0" t="s">
        <v>280</v>
      </c>
      <c r="I70" t="s">
        <v>534</v>
      </c>
      <c r="J70" t="s">
        <v>6</v>
      </c>
      <c r="K70">
        <v>0</v>
      </c>
      <c r="L70">
        <v>0</v>
      </c>
      <c r="M70" s="8">
        <v>0</v>
      </c>
      <c r="N70">
        <v>0</v>
      </c>
      <c r="O70">
        <v>0</v>
      </c>
      <c r="P70">
        <v>0</v>
      </c>
      <c r="Q70" s="8">
        <v>0</v>
      </c>
      <c r="R70" s="12"/>
      <c r="S70" s="8"/>
    </row>
    <row r="71" spans="1:19" x14ac:dyDescent="0.3">
      <c r="B71" t="str">
        <f>IF(SITUACION_COMPLETO[[#This Row],[PROXIMO INGRESO ESTIMADO]]&gt;0,"SI","NO")</f>
        <v>NO</v>
      </c>
      <c r="C71">
        <v>0</v>
      </c>
      <c r="D71" t="s">
        <v>500</v>
      </c>
      <c r="E71" t="s">
        <v>501</v>
      </c>
      <c r="F71" t="s">
        <v>5</v>
      </c>
      <c r="G71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1" t="s">
        <v>280</v>
      </c>
      <c r="I71" t="s">
        <v>534</v>
      </c>
      <c r="J71" t="s">
        <v>6</v>
      </c>
      <c r="K71">
        <v>0</v>
      </c>
      <c r="L71">
        <v>0</v>
      </c>
      <c r="M71" s="8">
        <v>0</v>
      </c>
      <c r="N71">
        <v>0</v>
      </c>
      <c r="O71">
        <v>0</v>
      </c>
      <c r="P71">
        <v>0</v>
      </c>
      <c r="Q71" s="8">
        <v>0</v>
      </c>
      <c r="R71" s="12"/>
      <c r="S71" s="8"/>
    </row>
    <row r="72" spans="1:19" x14ac:dyDescent="0.3">
      <c r="B72" t="str">
        <f>IF(SITUACION_COMPLETO[[#This Row],[PROXIMO INGRESO ESTIMADO]]&gt;0,"SI","NO")</f>
        <v>NO</v>
      </c>
      <c r="C72">
        <v>0</v>
      </c>
      <c r="D72" t="s">
        <v>502</v>
      </c>
      <c r="E72" t="s">
        <v>503</v>
      </c>
      <c r="F72" t="s">
        <v>5</v>
      </c>
      <c r="G72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2" t="s">
        <v>280</v>
      </c>
      <c r="I72" t="s">
        <v>534</v>
      </c>
      <c r="J72" t="s">
        <v>6</v>
      </c>
      <c r="K72">
        <v>0</v>
      </c>
      <c r="L72">
        <v>0</v>
      </c>
      <c r="M72" s="8">
        <v>0</v>
      </c>
      <c r="N72">
        <v>0</v>
      </c>
      <c r="O72">
        <v>0</v>
      </c>
      <c r="P72">
        <v>0</v>
      </c>
      <c r="Q72" s="8">
        <v>0</v>
      </c>
      <c r="R72" s="12"/>
      <c r="S72" s="8"/>
    </row>
    <row r="73" spans="1:19" x14ac:dyDescent="0.3">
      <c r="B73" t="str">
        <f>IF(SITUACION_COMPLETO[[#This Row],[PROXIMO INGRESO ESTIMADO]]&gt;0,"SI","NO")</f>
        <v>NO</v>
      </c>
      <c r="C73">
        <v>0</v>
      </c>
      <c r="D73" t="s">
        <v>504</v>
      </c>
      <c r="E73" t="s">
        <v>505</v>
      </c>
      <c r="F73" t="s">
        <v>5</v>
      </c>
      <c r="G73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3" t="s">
        <v>280</v>
      </c>
      <c r="I73" t="s">
        <v>537</v>
      </c>
      <c r="J73" t="s">
        <v>6</v>
      </c>
      <c r="K73">
        <v>0</v>
      </c>
      <c r="L73">
        <v>0</v>
      </c>
      <c r="M73" s="8">
        <v>0</v>
      </c>
      <c r="N73">
        <v>0</v>
      </c>
      <c r="O73">
        <v>0</v>
      </c>
      <c r="P73">
        <v>0</v>
      </c>
      <c r="Q73" s="8">
        <v>0</v>
      </c>
      <c r="R73" s="12"/>
      <c r="S73" s="8"/>
    </row>
    <row r="74" spans="1:19" x14ac:dyDescent="0.3">
      <c r="B74" t="str">
        <f>IF(SITUACION_COMPLETO[[#This Row],[PROXIMO INGRESO ESTIMADO]]&gt;0,"SI","NO")</f>
        <v>NO</v>
      </c>
      <c r="C74">
        <v>0</v>
      </c>
      <c r="D74" t="s">
        <v>506</v>
      </c>
      <c r="E74" t="s">
        <v>507</v>
      </c>
      <c r="F74" t="s">
        <v>5</v>
      </c>
      <c r="G74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4" t="s">
        <v>280</v>
      </c>
      <c r="I74" t="s">
        <v>534</v>
      </c>
      <c r="J74" t="s">
        <v>6</v>
      </c>
      <c r="K74">
        <v>0</v>
      </c>
      <c r="L74">
        <v>0</v>
      </c>
      <c r="M74" s="8">
        <v>0</v>
      </c>
      <c r="N74">
        <v>0</v>
      </c>
      <c r="O74">
        <v>0</v>
      </c>
      <c r="P74">
        <v>0</v>
      </c>
      <c r="Q74" s="8">
        <v>0</v>
      </c>
      <c r="R74" s="12"/>
      <c r="S74" s="8"/>
    </row>
    <row r="75" spans="1:19" x14ac:dyDescent="0.3">
      <c r="B75" t="str">
        <f>IF(SITUACION_COMPLETO[[#This Row],[PROXIMO INGRESO ESTIMADO]]&gt;0,"SI","NO")</f>
        <v>NO</v>
      </c>
      <c r="C75">
        <v>0</v>
      </c>
      <c r="D75" t="s">
        <v>508</v>
      </c>
      <c r="E75" t="s">
        <v>509</v>
      </c>
      <c r="F75" t="s">
        <v>5</v>
      </c>
      <c r="G75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5" t="s">
        <v>280</v>
      </c>
      <c r="I75" t="s">
        <v>534</v>
      </c>
      <c r="J75" t="s">
        <v>6</v>
      </c>
      <c r="K75">
        <v>0</v>
      </c>
      <c r="L75">
        <v>0</v>
      </c>
      <c r="M75" s="8">
        <v>0</v>
      </c>
      <c r="N75">
        <v>0</v>
      </c>
      <c r="O75">
        <v>0</v>
      </c>
      <c r="P75">
        <v>0</v>
      </c>
      <c r="Q75" s="8">
        <v>0</v>
      </c>
      <c r="R75" s="12"/>
      <c r="S75" s="8"/>
    </row>
    <row r="76" spans="1:19" x14ac:dyDescent="0.3">
      <c r="B76" t="str">
        <f>IF(SITUACION_COMPLETO[[#This Row],[PROXIMO INGRESO ESTIMADO]]&gt;0,"SI","NO")</f>
        <v>NO</v>
      </c>
      <c r="C76">
        <v>0</v>
      </c>
      <c r="D76" t="s">
        <v>510</v>
      </c>
      <c r="E76" t="s">
        <v>511</v>
      </c>
      <c r="F76" t="s">
        <v>5</v>
      </c>
      <c r="G76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6" t="s">
        <v>280</v>
      </c>
      <c r="I76" t="s">
        <v>537</v>
      </c>
      <c r="J76" t="s">
        <v>6</v>
      </c>
      <c r="K76">
        <v>0</v>
      </c>
      <c r="L76">
        <v>0</v>
      </c>
      <c r="M76" s="8">
        <v>0</v>
      </c>
      <c r="N76">
        <v>0</v>
      </c>
      <c r="O76">
        <v>0</v>
      </c>
      <c r="P76">
        <v>0</v>
      </c>
      <c r="Q76" s="8">
        <v>0</v>
      </c>
      <c r="R76" s="12"/>
      <c r="S76" s="8"/>
    </row>
    <row r="77" spans="1:19" x14ac:dyDescent="0.3">
      <c r="B77" t="str">
        <f>IF(SITUACION_COMPLETO[[#This Row],[PROXIMO INGRESO ESTIMADO]]&gt;0,"SI","NO")</f>
        <v>NO</v>
      </c>
      <c r="C77">
        <v>0</v>
      </c>
      <c r="D77" t="s">
        <v>512</v>
      </c>
      <c r="E77" t="s">
        <v>513</v>
      </c>
      <c r="F77" t="s">
        <v>5</v>
      </c>
      <c r="G77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7" t="s">
        <v>280</v>
      </c>
      <c r="I77" t="s">
        <v>536</v>
      </c>
      <c r="J77" t="s">
        <v>6</v>
      </c>
      <c r="K77">
        <v>0</v>
      </c>
      <c r="L77">
        <v>0</v>
      </c>
      <c r="M77" s="8">
        <v>0</v>
      </c>
      <c r="N77">
        <v>0</v>
      </c>
      <c r="O77">
        <v>0</v>
      </c>
      <c r="P77">
        <v>0</v>
      </c>
      <c r="Q77" s="8">
        <v>0</v>
      </c>
      <c r="R77" s="12"/>
      <c r="S77" s="8"/>
    </row>
    <row r="78" spans="1:19" x14ac:dyDescent="0.3">
      <c r="B78" t="str">
        <f>IF(SITUACION_COMPLETO[[#This Row],[PROXIMO INGRESO ESTIMADO]]&gt;0,"SI","NO")</f>
        <v>NO</v>
      </c>
      <c r="C78">
        <v>0</v>
      </c>
      <c r="D78" t="s">
        <v>514</v>
      </c>
      <c r="E78" t="s">
        <v>515</v>
      </c>
      <c r="F78" t="s">
        <v>5</v>
      </c>
      <c r="G78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8" t="s">
        <v>280</v>
      </c>
      <c r="I78" t="s">
        <v>534</v>
      </c>
      <c r="J78" t="s">
        <v>6</v>
      </c>
      <c r="K78">
        <v>0</v>
      </c>
      <c r="L78">
        <v>0</v>
      </c>
      <c r="M78" s="8">
        <v>0</v>
      </c>
      <c r="N78">
        <v>0</v>
      </c>
      <c r="O78">
        <v>0</v>
      </c>
      <c r="P78">
        <v>0</v>
      </c>
      <c r="Q78" s="8">
        <v>0</v>
      </c>
      <c r="R78" s="12"/>
      <c r="S78" s="8"/>
    </row>
    <row r="79" spans="1:19" x14ac:dyDescent="0.3">
      <c r="B79" t="str">
        <f>IF(SITUACION_COMPLETO[[#This Row],[PROXIMO INGRESO ESTIMADO]]&gt;0,"SI","NO")</f>
        <v>NO</v>
      </c>
      <c r="C79">
        <v>0</v>
      </c>
      <c r="D79" t="s">
        <v>516</v>
      </c>
      <c r="E79" t="s">
        <v>517</v>
      </c>
      <c r="F79" t="s">
        <v>5</v>
      </c>
      <c r="G7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79" t="s">
        <v>280</v>
      </c>
      <c r="I79" t="s">
        <v>535</v>
      </c>
      <c r="J79" t="s">
        <v>6</v>
      </c>
      <c r="K79">
        <v>0</v>
      </c>
      <c r="L79">
        <v>0</v>
      </c>
      <c r="M79" s="8">
        <v>0</v>
      </c>
      <c r="N79">
        <v>0</v>
      </c>
      <c r="O79">
        <v>0</v>
      </c>
      <c r="P79">
        <v>0</v>
      </c>
      <c r="Q79" s="8">
        <v>0</v>
      </c>
      <c r="R79" s="12"/>
      <c r="S79" s="8"/>
    </row>
    <row r="80" spans="1:19" x14ac:dyDescent="0.3">
      <c r="A80" t="s">
        <v>376</v>
      </c>
      <c r="B80" t="str">
        <f>IF(SITUACION_COMPLETO[[#This Row],[PROXIMO INGRESO ESTIMADO]]&gt;0,"SI","NO")</f>
        <v>NO</v>
      </c>
      <c r="C80">
        <v>0</v>
      </c>
      <c r="D80" t="s">
        <v>108</v>
      </c>
      <c r="E80" t="s">
        <v>221</v>
      </c>
      <c r="F80" t="str">
        <f>+VLOOKUP(SITUACION_COMPLETO[[#This Row],[CODIGO]],[1]Sheet1!$A:$C,3,0)</f>
        <v>PET</v>
      </c>
      <c r="G8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80" t="s">
        <v>281</v>
      </c>
      <c r="I80" t="str">
        <f>+VLOOKUP(SITUACION_COMPLETO[[#This Row],[CODIGO]],[1]Sheet1!$A:$D,4,0)</f>
        <v>ASPIRADORAS</v>
      </c>
      <c r="J80" t="s">
        <v>6</v>
      </c>
      <c r="K80">
        <v>0</v>
      </c>
      <c r="L80">
        <v>0</v>
      </c>
      <c r="M80" s="8">
        <v>0</v>
      </c>
      <c r="N80">
        <v>0</v>
      </c>
      <c r="O80">
        <v>0</v>
      </c>
      <c r="P80">
        <v>0</v>
      </c>
      <c r="Q80" s="8">
        <v>0</v>
      </c>
      <c r="R80" s="12"/>
      <c r="S80" s="8"/>
    </row>
    <row r="81" spans="1:19" x14ac:dyDescent="0.3">
      <c r="A81" t="s">
        <v>400</v>
      </c>
      <c r="B81" t="str">
        <f>IF(SITUACION_COMPLETO[[#This Row],[PROXIMO INGRESO ESTIMADO]]&gt;0,"SI","NO")</f>
        <v>NO</v>
      </c>
      <c r="C81">
        <v>0</v>
      </c>
      <c r="D81" t="s">
        <v>21</v>
      </c>
      <c r="E81" t="s">
        <v>235</v>
      </c>
      <c r="F81" t="str">
        <f>+VLOOKUP(SITUACION_COMPLETO[[#This Row],[CODIGO]],[1]Sheet1!$A:$C,3,0)</f>
        <v>JUGUETES</v>
      </c>
      <c r="G81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81" t="s">
        <v>280</v>
      </c>
      <c r="I81" t="str">
        <f>+VLOOKUP(SITUACION_COMPLETO[[#This Row],[CODIGO]],[1]Sheet1!$A:$D,4,0)</f>
        <v>PISTOLAS DE AGUA</v>
      </c>
      <c r="J81" t="s">
        <v>13</v>
      </c>
      <c r="K81">
        <v>0</v>
      </c>
      <c r="L81">
        <v>189</v>
      </c>
      <c r="M81" s="8">
        <v>1</v>
      </c>
      <c r="N81">
        <v>189</v>
      </c>
      <c r="O81">
        <v>188</v>
      </c>
      <c r="P81">
        <v>1</v>
      </c>
      <c r="Q81" s="8">
        <v>0</v>
      </c>
      <c r="R81" s="12"/>
      <c r="S81" s="8"/>
    </row>
    <row r="82" spans="1:19" x14ac:dyDescent="0.3">
      <c r="A82" t="s">
        <v>405</v>
      </c>
      <c r="B82" t="str">
        <f>IF(SITUACION_COMPLETO[[#This Row],[PROXIMO INGRESO ESTIMADO]]&gt;0,"SI","NO")</f>
        <v>NO</v>
      </c>
      <c r="C82">
        <v>0</v>
      </c>
      <c r="D82" t="s">
        <v>115</v>
      </c>
      <c r="E82" t="s">
        <v>228</v>
      </c>
      <c r="F82" t="str">
        <f>+VLOOKUP(SITUACION_COMPLETO[[#This Row],[CODIGO]],[1]Sheet1!$A:$C,3,0)</f>
        <v>JUGUETES</v>
      </c>
      <c r="G82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82" t="s">
        <v>280</v>
      </c>
      <c r="I82" t="str">
        <f>+VLOOKUP(SITUACION_COMPLETO[[#This Row],[CODIGO]],[1]Sheet1!$A:$D,4,0)</f>
        <v>PISTOLAS DE AGUA</v>
      </c>
      <c r="J82" t="s">
        <v>13</v>
      </c>
      <c r="K82">
        <v>0</v>
      </c>
      <c r="L82">
        <v>67</v>
      </c>
      <c r="M82" s="8">
        <v>59</v>
      </c>
      <c r="N82">
        <v>67</v>
      </c>
      <c r="O82">
        <v>8</v>
      </c>
      <c r="P82">
        <v>59</v>
      </c>
      <c r="Q82" s="8">
        <v>500</v>
      </c>
      <c r="R82" s="12"/>
      <c r="S82" s="8"/>
    </row>
    <row r="83" spans="1:19" x14ac:dyDescent="0.3">
      <c r="A83" t="s">
        <v>397</v>
      </c>
      <c r="B83" t="str">
        <f>IF(SITUACION_COMPLETO[[#This Row],[PROXIMO INGRESO ESTIMADO]]&gt;0,"SI","NO")</f>
        <v>NO</v>
      </c>
      <c r="C83">
        <v>0</v>
      </c>
      <c r="D83" t="s">
        <v>125</v>
      </c>
      <c r="E83" t="s">
        <v>240</v>
      </c>
      <c r="F83" t="str">
        <f>+VLOOKUP(SITUACION_COMPLETO[[#This Row],[CODIGO]],[1]Sheet1!$A:$C,3,0)</f>
        <v>JUGUETES</v>
      </c>
      <c r="G83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83" t="s">
        <v>280</v>
      </c>
      <c r="I83" t="str">
        <f>+VLOOKUP(SITUACION_COMPLETO[[#This Row],[CODIGO]],[1]Sheet1!$A:$D,4,0)</f>
        <v>PISTOLAS DE AGUA</v>
      </c>
      <c r="J83" t="s">
        <v>13</v>
      </c>
      <c r="K83">
        <v>0</v>
      </c>
      <c r="L83">
        <v>604</v>
      </c>
      <c r="M83" s="8">
        <v>18</v>
      </c>
      <c r="N83">
        <v>604</v>
      </c>
      <c r="O83">
        <v>586</v>
      </c>
      <c r="P83">
        <v>18</v>
      </c>
      <c r="Q83" s="8">
        <v>1000</v>
      </c>
      <c r="R83" s="12"/>
      <c r="S83" s="8"/>
    </row>
    <row r="84" spans="1:19" x14ac:dyDescent="0.3">
      <c r="A84" t="s">
        <v>460</v>
      </c>
      <c r="B84" t="str">
        <f>IF(SITUACION_COMPLETO[[#This Row],[PROXIMO INGRESO ESTIMADO]]&gt;0,"SI","NO")</f>
        <v>NO</v>
      </c>
      <c r="C84">
        <v>0</v>
      </c>
      <c r="D84" t="s">
        <v>454</v>
      </c>
      <c r="E84" t="s">
        <v>139</v>
      </c>
      <c r="F84" t="str">
        <f>+VLOOKUP(SITUACION_COMPLETO[[#This Row],[CODIGO]],[1]Sheet1!$A:$C,3,0)</f>
        <v>PEQUEÑOS ELECTRO</v>
      </c>
      <c r="G84" s="8" t="str">
        <f>IF(SITUACION_COMPLETO[[#This Row],[DISPONIBLE GRAL]]&lt;5,"QUIEBRE",IFERROR(MAX(ROUND(SITUACION_COMPLETO[[#This Row],[DISPONIBLE GRAL]]/SITUACION_COMPLETO[[#This Row],[INDICE DIGITAL]],0),0),"SIN VENTA"))</f>
        <v>SIN VENTA</v>
      </c>
      <c r="H84" t="s">
        <v>280</v>
      </c>
      <c r="I84" t="s">
        <v>538</v>
      </c>
      <c r="J84" t="s">
        <v>6</v>
      </c>
      <c r="K84">
        <v>0</v>
      </c>
      <c r="L84">
        <v>109</v>
      </c>
      <c r="M84" s="8">
        <v>50</v>
      </c>
      <c r="N84">
        <v>109</v>
      </c>
      <c r="O84">
        <v>59</v>
      </c>
      <c r="P84">
        <v>50</v>
      </c>
      <c r="Q84" s="8">
        <v>0</v>
      </c>
      <c r="R84" s="12"/>
      <c r="S84" s="8"/>
    </row>
    <row r="85" spans="1:19" x14ac:dyDescent="0.3">
      <c r="A85" t="s">
        <v>310</v>
      </c>
      <c r="B85" t="str">
        <f>IF(SITUACION_COMPLETO[[#This Row],[PROXIMO INGRESO ESTIMADO]]&gt;0,"SI","NO")</f>
        <v>SI</v>
      </c>
      <c r="C85">
        <v>0.1</v>
      </c>
      <c r="D85" t="s">
        <v>264</v>
      </c>
      <c r="E85" t="s">
        <v>265</v>
      </c>
      <c r="F85" t="str">
        <f>+VLOOKUP(SITUACION_COMPLETO[[#This Row],[CODIGO]],[1]Sheet1!$A:$C,3,0)</f>
        <v>JUGUETES</v>
      </c>
      <c r="G85" s="8">
        <f>IF(SITUACION_COMPLETO[[#This Row],[DISPONIBLE GRAL]]&lt;5,"QUIEBRE",IFERROR(MAX(ROUND(SITUACION_COMPLETO[[#This Row],[DISPONIBLE GRAL]]/SITUACION_COMPLETO[[#This Row],[INDICE DIGITAL]],0),0),"SIN VENTA"))</f>
        <v>70</v>
      </c>
      <c r="H85" t="s">
        <v>280</v>
      </c>
      <c r="I85" t="str">
        <f>+VLOOKUP(SITUACION_COMPLETO[[#This Row],[CODIGO]],[1]Sheet1!$A:$D,4,0)</f>
        <v>AUTOS A CONTROL REMOTO</v>
      </c>
      <c r="J85" t="s">
        <v>13</v>
      </c>
      <c r="K85">
        <v>0</v>
      </c>
      <c r="L85">
        <v>7</v>
      </c>
      <c r="M85" s="8">
        <v>1</v>
      </c>
      <c r="N85">
        <v>7</v>
      </c>
      <c r="O85">
        <v>6</v>
      </c>
      <c r="P85">
        <v>1</v>
      </c>
      <c r="Q85" s="8">
        <v>0</v>
      </c>
      <c r="R85" s="12">
        <v>46239</v>
      </c>
      <c r="S85" s="8">
        <v>510</v>
      </c>
    </row>
    <row r="86" spans="1:19" x14ac:dyDescent="0.3">
      <c r="A86" t="s">
        <v>404</v>
      </c>
      <c r="B86" t="str">
        <f>IF(SITUACION_COMPLETO[[#This Row],[PROXIMO INGRESO ESTIMADO]]&gt;0,"SI","NO")</f>
        <v>SI</v>
      </c>
      <c r="C86">
        <v>0.1</v>
      </c>
      <c r="D86" t="s">
        <v>268</v>
      </c>
      <c r="E86" t="s">
        <v>269</v>
      </c>
      <c r="F86" t="str">
        <f>+VLOOKUP(SITUACION_COMPLETO[[#This Row],[CODIGO]],[1]Sheet1!$A:$C,3,0)</f>
        <v>JUGUETES</v>
      </c>
      <c r="G86" s="8">
        <f>IF(SITUACION_COMPLETO[[#This Row],[DISPONIBLE GRAL]]&lt;5,"QUIEBRE",IFERROR(MAX(ROUND(SITUACION_COMPLETO[[#This Row],[DISPONIBLE GRAL]]/SITUACION_COMPLETO[[#This Row],[INDICE DIGITAL]],0),0),"SIN VENTA"))</f>
        <v>50</v>
      </c>
      <c r="H86" t="s">
        <v>280</v>
      </c>
      <c r="I86" t="str">
        <f>+VLOOKUP(SITUACION_COMPLETO[[#This Row],[CODIGO]],[1]Sheet1!$A:$D,4,0)</f>
        <v>AUTOS A CONTROL REMOTO</v>
      </c>
      <c r="J86" t="s">
        <v>13</v>
      </c>
      <c r="K86">
        <v>0</v>
      </c>
      <c r="L86">
        <v>5</v>
      </c>
      <c r="M86" s="8">
        <v>5</v>
      </c>
      <c r="N86">
        <v>5</v>
      </c>
      <c r="O86">
        <v>0</v>
      </c>
      <c r="P86">
        <v>5</v>
      </c>
      <c r="Q86" s="8">
        <v>0</v>
      </c>
      <c r="R86" s="12">
        <v>46239</v>
      </c>
      <c r="S86" s="8">
        <v>705</v>
      </c>
    </row>
    <row r="87" spans="1:19" x14ac:dyDescent="0.3">
      <c r="A87" t="s">
        <v>316</v>
      </c>
      <c r="B87" t="str">
        <f>IF(SITUACION_COMPLETO[[#This Row],[PROXIMO INGRESO ESTIMADO]]&gt;0,"SI","NO")</f>
        <v>NO</v>
      </c>
      <c r="C87">
        <v>0.1</v>
      </c>
      <c r="D87" t="s">
        <v>9</v>
      </c>
      <c r="E87" t="s">
        <v>251</v>
      </c>
      <c r="F87" t="str">
        <f>+VLOOKUP(SITUACION_COMPLETO[[#This Row],[CODIGO]],[1]Sheet1!$A:$C,3,0)</f>
        <v>CCTV</v>
      </c>
      <c r="G87" s="8">
        <f>IF(SITUACION_COMPLETO[[#This Row],[DISPONIBLE GRAL]]&lt;5,"QUIEBRE",IFERROR(MAX(ROUND(SITUACION_COMPLETO[[#This Row],[DISPONIBLE GRAL]]/SITUACION_COMPLETO[[#This Row],[INDICE DIGITAL]],0),0),"SIN VENTA"))</f>
        <v>140</v>
      </c>
      <c r="H87" t="s">
        <v>281</v>
      </c>
      <c r="I87" t="str">
        <f>+VLOOKUP(SITUACION_COMPLETO[[#This Row],[CODIGO]],[1]Sheet1!$A:$D,4,0)</f>
        <v>CAMARA SEGURIDAD</v>
      </c>
      <c r="J87" t="s">
        <v>10</v>
      </c>
      <c r="K87">
        <v>68</v>
      </c>
      <c r="L87">
        <v>14</v>
      </c>
      <c r="M87" s="8">
        <v>2</v>
      </c>
      <c r="N87">
        <v>15</v>
      </c>
      <c r="O87">
        <v>13</v>
      </c>
      <c r="P87">
        <v>2</v>
      </c>
      <c r="Q87" s="8">
        <v>0</v>
      </c>
      <c r="R87" s="12"/>
      <c r="S87" s="8"/>
    </row>
    <row r="88" spans="1:19" x14ac:dyDescent="0.3">
      <c r="A88" t="s">
        <v>305</v>
      </c>
      <c r="B88" t="str">
        <f>IF(SITUACION_COMPLETO[[#This Row],[PROXIMO INGRESO ESTIMADO]]&gt;0,"SI","NO")</f>
        <v>NO</v>
      </c>
      <c r="C88">
        <v>0.1</v>
      </c>
      <c r="D88" t="s">
        <v>49</v>
      </c>
      <c r="E88" t="s">
        <v>162</v>
      </c>
      <c r="F88" t="str">
        <f>+VLOOKUP(SITUACION_COMPLETO[[#This Row],[CODIGO]],[1]Sheet1!$A:$C,3,0)</f>
        <v>ACCESORIOS</v>
      </c>
      <c r="G88" s="8">
        <f>IF(SITUACION_COMPLETO[[#This Row],[DISPONIBLE GRAL]]&lt;5,"QUIEBRE",IFERROR(MAX(ROUND(SITUACION_COMPLETO[[#This Row],[DISPONIBLE GRAL]]/SITUACION_COMPLETO[[#This Row],[INDICE DIGITAL]],0),0),"SIN VENTA"))</f>
        <v>2660</v>
      </c>
      <c r="H88" t="s">
        <v>280</v>
      </c>
      <c r="I88" t="str">
        <f>+VLOOKUP(SITUACION_COMPLETO[[#This Row],[CODIGO]],[1]Sheet1!$A:$D,4,0)</f>
        <v>SOPORTES</v>
      </c>
      <c r="J88" t="s">
        <v>13</v>
      </c>
      <c r="K88">
        <v>0</v>
      </c>
      <c r="L88">
        <v>266</v>
      </c>
      <c r="M88" s="8">
        <v>6</v>
      </c>
      <c r="N88">
        <v>266</v>
      </c>
      <c r="O88">
        <v>260</v>
      </c>
      <c r="P88">
        <v>6</v>
      </c>
      <c r="Q88" s="8">
        <v>0</v>
      </c>
      <c r="R88" s="12"/>
      <c r="S88" s="8"/>
    </row>
    <row r="89" spans="1:19" x14ac:dyDescent="0.3">
      <c r="A89" t="s">
        <v>334</v>
      </c>
      <c r="B89" t="str">
        <f>IF(SITUACION_COMPLETO[[#This Row],[PROXIMO INGRESO ESTIMADO]]&gt;0,"SI","NO")</f>
        <v>NO</v>
      </c>
      <c r="C89">
        <v>0.1</v>
      </c>
      <c r="D89" t="s">
        <v>63</v>
      </c>
      <c r="E89" t="s">
        <v>176</v>
      </c>
      <c r="F89" t="str">
        <f>+VLOOKUP(SITUACION_COMPLETO[[#This Row],[CODIGO]],[1]Sheet1!$A:$C,3,0)</f>
        <v>ILUMINACION</v>
      </c>
      <c r="G89" s="8">
        <f>IF(SITUACION_COMPLETO[[#This Row],[DISPONIBLE GRAL]]&lt;5,"QUIEBRE",IFERROR(MAX(ROUND(SITUACION_COMPLETO[[#This Row],[DISPONIBLE GRAL]]/SITUACION_COMPLETO[[#This Row],[INDICE DIGITAL]],0),0),"SIN VENTA"))</f>
        <v>5200</v>
      </c>
      <c r="H89" t="s">
        <v>281</v>
      </c>
      <c r="I89" t="str">
        <f>+VLOOKUP(SITUACION_COMPLETO[[#This Row],[CODIGO]],[1]Sheet1!$A:$D,4,0)</f>
        <v>DRIVERS</v>
      </c>
      <c r="J89" t="s">
        <v>39</v>
      </c>
      <c r="K89">
        <v>0</v>
      </c>
      <c r="L89">
        <v>520</v>
      </c>
      <c r="M89" s="8">
        <v>0</v>
      </c>
      <c r="N89">
        <v>520</v>
      </c>
      <c r="O89">
        <v>520</v>
      </c>
      <c r="P89">
        <v>0</v>
      </c>
      <c r="Q89" s="8">
        <v>3000</v>
      </c>
      <c r="R89" s="12"/>
      <c r="S89" s="8"/>
    </row>
    <row r="90" spans="1:19" x14ac:dyDescent="0.3">
      <c r="A90" t="s">
        <v>381</v>
      </c>
      <c r="B90" t="str">
        <f>IF(SITUACION_COMPLETO[[#This Row],[PROXIMO INGRESO ESTIMADO]]&gt;0,"SI","NO")</f>
        <v>NO</v>
      </c>
      <c r="C90">
        <v>0.1</v>
      </c>
      <c r="D90" t="s">
        <v>118</v>
      </c>
      <c r="E90" t="s">
        <v>231</v>
      </c>
      <c r="F90" t="str">
        <f>+VLOOKUP(SITUACION_COMPLETO[[#This Row],[CODIGO]],[1]Sheet1!$A:$C,3,0)</f>
        <v>PEQUEÑOS ELECTRO</v>
      </c>
      <c r="G90" s="8">
        <f>IF(SITUACION_COMPLETO[[#This Row],[DISPONIBLE GRAL]]&lt;5,"QUIEBRE",IFERROR(MAX(ROUND(SITUACION_COMPLETO[[#This Row],[DISPONIBLE GRAL]]/SITUACION_COMPLETO[[#This Row],[INDICE DIGITAL]],0),0),"SIN VENTA"))</f>
        <v>5820</v>
      </c>
      <c r="H90" t="s">
        <v>281</v>
      </c>
      <c r="I90" t="str">
        <f>+VLOOKUP(SITUACION_COMPLETO[[#This Row],[CODIGO]],[1]Sheet1!$A:$D,4,0)</f>
        <v>PARRILLAS</v>
      </c>
      <c r="J90" t="s">
        <v>6</v>
      </c>
      <c r="K90">
        <v>0</v>
      </c>
      <c r="L90">
        <v>582</v>
      </c>
      <c r="M90" s="8">
        <v>8</v>
      </c>
      <c r="N90">
        <v>582</v>
      </c>
      <c r="O90">
        <v>574</v>
      </c>
      <c r="P90">
        <v>8</v>
      </c>
      <c r="Q90" s="8">
        <v>0</v>
      </c>
      <c r="R90" s="12"/>
      <c r="S90" s="8"/>
    </row>
    <row r="91" spans="1:19" x14ac:dyDescent="0.3">
      <c r="A91" t="s">
        <v>383</v>
      </c>
      <c r="B91" t="str">
        <f>IF(SITUACION_COMPLETO[[#This Row],[PROXIMO INGRESO ESTIMADO]]&gt;0,"SI","NO")</f>
        <v>NO</v>
      </c>
      <c r="C91">
        <v>0.1</v>
      </c>
      <c r="D91" t="s">
        <v>116</v>
      </c>
      <c r="E91" t="s">
        <v>229</v>
      </c>
      <c r="F91" t="str">
        <f>+VLOOKUP(SITUACION_COMPLETO[[#This Row],[CODIGO]],[1]Sheet1!$A:$C,3,0)</f>
        <v>CICLISMO</v>
      </c>
      <c r="G91" s="8">
        <f>IF(SITUACION_COMPLETO[[#This Row],[DISPONIBLE GRAL]]&lt;5,"QUIEBRE",IFERROR(MAX(ROUND(SITUACION_COMPLETO[[#This Row],[DISPONIBLE GRAL]]/SITUACION_COMPLETO[[#This Row],[INDICE DIGITAL]],0),0),"SIN VENTA"))</f>
        <v>890</v>
      </c>
      <c r="H91" t="s">
        <v>281</v>
      </c>
      <c r="I91" t="str">
        <f>+VLOOKUP(SITUACION_COMPLETO[[#This Row],[CODIGO]],[1]Sheet1!$A:$D,4,0)</f>
        <v>ACCESORIOS</v>
      </c>
      <c r="J91" t="s">
        <v>29</v>
      </c>
      <c r="K91">
        <v>0</v>
      </c>
      <c r="L91">
        <v>89</v>
      </c>
      <c r="M91" s="8">
        <v>2</v>
      </c>
      <c r="N91">
        <v>89</v>
      </c>
      <c r="O91">
        <v>87</v>
      </c>
      <c r="P91">
        <v>2</v>
      </c>
      <c r="Q91" s="8">
        <v>0</v>
      </c>
      <c r="R91" s="12"/>
      <c r="S91" s="8"/>
    </row>
    <row r="92" spans="1:19" x14ac:dyDescent="0.3">
      <c r="A92" t="s">
        <v>445</v>
      </c>
      <c r="B92" t="str">
        <f>IF(SITUACION_COMPLETO[[#This Row],[PROXIMO INGRESO ESTIMADO]]&gt;0,"SI","NO")</f>
        <v>NO</v>
      </c>
      <c r="C92">
        <v>0.1</v>
      </c>
      <c r="D92" t="s">
        <v>446</v>
      </c>
      <c r="E92" t="s">
        <v>138</v>
      </c>
      <c r="F92" t="s">
        <v>523</v>
      </c>
      <c r="G92" s="8">
        <f>IF(SITUACION_COMPLETO[[#This Row],[DISPONIBLE GRAL]]&lt;5,"QUIEBRE",IFERROR(MAX(ROUND(SITUACION_COMPLETO[[#This Row],[DISPONIBLE GRAL]]/SITUACION_COMPLETO[[#This Row],[INDICE DIGITAL]],0),0),"SIN VENTA"))</f>
        <v>9900</v>
      </c>
      <c r="H92" t="s">
        <v>280</v>
      </c>
      <c r="I92" t="s">
        <v>538</v>
      </c>
      <c r="J92" t="s">
        <v>6</v>
      </c>
      <c r="K92">
        <v>0</v>
      </c>
      <c r="L92">
        <v>990</v>
      </c>
      <c r="M92" s="8">
        <v>0</v>
      </c>
      <c r="N92">
        <v>990</v>
      </c>
      <c r="O92">
        <v>990</v>
      </c>
      <c r="P92">
        <v>0</v>
      </c>
      <c r="Q92" s="8">
        <v>800</v>
      </c>
      <c r="R92" s="12"/>
      <c r="S92" s="8"/>
    </row>
    <row r="93" spans="1:19" x14ac:dyDescent="0.3">
      <c r="A93" t="s">
        <v>416</v>
      </c>
      <c r="B93" t="str">
        <f>IF(SITUACION_COMPLETO[[#This Row],[PROXIMO INGRESO ESTIMADO]]&gt;0,"SI","NO")</f>
        <v>NO</v>
      </c>
      <c r="C93">
        <v>0.2</v>
      </c>
      <c r="D93" t="s">
        <v>46</v>
      </c>
      <c r="E93" t="s">
        <v>157</v>
      </c>
      <c r="F93" t="str">
        <f>+VLOOKUP(SITUACION_COMPLETO[[#This Row],[CODIGO]],[1]Sheet1!$A:$C,3,0)</f>
        <v>AUDIO</v>
      </c>
      <c r="G93" s="8">
        <f>IF(SITUACION_COMPLETO[[#This Row],[DISPONIBLE GRAL]]&lt;5,"QUIEBRE",IFERROR(MAX(ROUND(SITUACION_COMPLETO[[#This Row],[DISPONIBLE GRAL]]/SITUACION_COMPLETO[[#This Row],[INDICE DIGITAL]],0),0),"SIN VENTA"))</f>
        <v>115</v>
      </c>
      <c r="H93" t="s">
        <v>281</v>
      </c>
      <c r="I93" t="str">
        <f>+VLOOKUP(SITUACION_COMPLETO[[#This Row],[CODIGO]],[1]Sheet1!$A:$D,4,0)</f>
        <v>AURICULARES</v>
      </c>
      <c r="J93" t="s">
        <v>6</v>
      </c>
      <c r="K93">
        <v>0</v>
      </c>
      <c r="L93">
        <v>23</v>
      </c>
      <c r="M93" s="8">
        <v>2</v>
      </c>
      <c r="N93">
        <v>23</v>
      </c>
      <c r="O93">
        <v>21</v>
      </c>
      <c r="P93">
        <v>2</v>
      </c>
      <c r="Q93" s="8">
        <v>6000</v>
      </c>
      <c r="R93" s="12"/>
      <c r="S93" s="8"/>
    </row>
    <row r="94" spans="1:19" x14ac:dyDescent="0.3">
      <c r="A94" t="s">
        <v>305</v>
      </c>
      <c r="B94" t="str">
        <f>IF(SITUACION_COMPLETO[[#This Row],[PROXIMO INGRESO ESTIMADO]]&gt;0,"SI","NO")</f>
        <v>NO</v>
      </c>
      <c r="C94">
        <v>0.2</v>
      </c>
      <c r="D94" t="s">
        <v>36</v>
      </c>
      <c r="E94" t="s">
        <v>149</v>
      </c>
      <c r="F94" t="str">
        <f>+VLOOKUP(SITUACION_COMPLETO[[#This Row],[CODIGO]],[1]Sheet1!$A:$C,3,0)</f>
        <v>ACCESORIOS</v>
      </c>
      <c r="G94" s="8">
        <f>IF(SITUACION_COMPLETO[[#This Row],[DISPONIBLE GRAL]]&lt;5,"QUIEBRE",IFERROR(MAX(ROUND(SITUACION_COMPLETO[[#This Row],[DISPONIBLE GRAL]]/SITUACION_COMPLETO[[#This Row],[INDICE DIGITAL]],0),0),"SIN VENTA"))</f>
        <v>730</v>
      </c>
      <c r="H94" t="s">
        <v>280</v>
      </c>
      <c r="I94" t="str">
        <f>+VLOOKUP(SITUACION_COMPLETO[[#This Row],[CODIGO]],[1]Sheet1!$A:$D,4,0)</f>
        <v>SOPORTES</v>
      </c>
      <c r="J94" t="s">
        <v>13</v>
      </c>
      <c r="K94">
        <v>0</v>
      </c>
      <c r="L94">
        <v>146</v>
      </c>
      <c r="M94" s="8">
        <v>7</v>
      </c>
      <c r="N94">
        <v>147</v>
      </c>
      <c r="O94">
        <v>139</v>
      </c>
      <c r="P94">
        <v>8</v>
      </c>
      <c r="Q94" s="8">
        <v>0</v>
      </c>
      <c r="R94" s="12"/>
      <c r="S94" s="8"/>
    </row>
    <row r="95" spans="1:19" x14ac:dyDescent="0.3">
      <c r="A95" t="s">
        <v>358</v>
      </c>
      <c r="B95" t="str">
        <f>IF(SITUACION_COMPLETO[[#This Row],[PROXIMO INGRESO ESTIMADO]]&gt;0,"SI","NO")</f>
        <v>NO</v>
      </c>
      <c r="C95">
        <v>0.2</v>
      </c>
      <c r="D95" t="s">
        <v>57</v>
      </c>
      <c r="E95" t="s">
        <v>170</v>
      </c>
      <c r="F95" t="str">
        <f>+VLOOKUP(SITUACION_COMPLETO[[#This Row],[CODIGO]],[1]Sheet1!$A:$C,3,0)</f>
        <v>CLIMATIZACION</v>
      </c>
      <c r="G95" s="8">
        <f>IF(SITUACION_COMPLETO[[#This Row],[DISPONIBLE GRAL]]&lt;5,"QUIEBRE",IFERROR(MAX(ROUND(SITUACION_COMPLETO[[#This Row],[DISPONIBLE GRAL]]/SITUACION_COMPLETO[[#This Row],[INDICE DIGITAL]],0),0),"SIN VENTA"))</f>
        <v>670</v>
      </c>
      <c r="H95" t="s">
        <v>280</v>
      </c>
      <c r="I95" t="str">
        <f>+VLOOKUP(SITUACION_COMPLETO[[#This Row],[CODIGO]],[1]Sheet1!$A:$D,4,0)</f>
        <v>VENTILADORES</v>
      </c>
      <c r="J95" t="s">
        <v>13</v>
      </c>
      <c r="K95">
        <v>1</v>
      </c>
      <c r="L95">
        <v>134</v>
      </c>
      <c r="M95" s="8">
        <v>16</v>
      </c>
      <c r="N95">
        <v>134</v>
      </c>
      <c r="O95">
        <v>118</v>
      </c>
      <c r="P95">
        <v>16</v>
      </c>
      <c r="Q95" s="8">
        <v>0</v>
      </c>
      <c r="R95" s="12"/>
      <c r="S95" s="8"/>
    </row>
    <row r="96" spans="1:19" x14ac:dyDescent="0.3">
      <c r="A96" t="s">
        <v>305</v>
      </c>
      <c r="B96" t="str">
        <f>IF(SITUACION_COMPLETO[[#This Row],[PROXIMO INGRESO ESTIMADO]]&gt;0,"SI","NO")</f>
        <v>NO</v>
      </c>
      <c r="C96">
        <v>0.2</v>
      </c>
      <c r="D96" t="s">
        <v>81</v>
      </c>
      <c r="E96" t="s">
        <v>193</v>
      </c>
      <c r="F96" t="str">
        <f>+VLOOKUP(SITUACION_COMPLETO[[#This Row],[CODIGO]],[1]Sheet1!$A:$C,3,0)</f>
        <v>ACCESORIOS</v>
      </c>
      <c r="G96" s="8">
        <f>IF(SITUACION_COMPLETO[[#This Row],[DISPONIBLE GRAL]]&lt;5,"QUIEBRE",IFERROR(MAX(ROUND(SITUACION_COMPLETO[[#This Row],[DISPONIBLE GRAL]]/SITUACION_COMPLETO[[#This Row],[INDICE DIGITAL]],0),0),"SIN VENTA"))</f>
        <v>210</v>
      </c>
      <c r="H96" t="s">
        <v>281</v>
      </c>
      <c r="I96" t="str">
        <f>+VLOOKUP(SITUACION_COMPLETO[[#This Row],[CODIGO]],[1]Sheet1!$A:$D,4,0)</f>
        <v>ARO LUZ</v>
      </c>
      <c r="J96" t="s">
        <v>7</v>
      </c>
      <c r="K96">
        <v>0</v>
      </c>
      <c r="L96">
        <v>42</v>
      </c>
      <c r="M96" s="8">
        <v>42</v>
      </c>
      <c r="N96">
        <v>42</v>
      </c>
      <c r="O96">
        <v>0</v>
      </c>
      <c r="P96">
        <v>42</v>
      </c>
      <c r="Q96" s="8">
        <v>0</v>
      </c>
      <c r="R96" s="12"/>
      <c r="S96" s="8"/>
    </row>
    <row r="97" spans="1:19" x14ac:dyDescent="0.3">
      <c r="A97" t="s">
        <v>362</v>
      </c>
      <c r="B97" t="str">
        <f>IF(SITUACION_COMPLETO[[#This Row],[PROXIMO INGRESO ESTIMADO]]&gt;0,"SI","NO")</f>
        <v>NO</v>
      </c>
      <c r="C97">
        <v>0.2</v>
      </c>
      <c r="D97" t="s">
        <v>90</v>
      </c>
      <c r="E97" t="s">
        <v>201</v>
      </c>
      <c r="F97" t="str">
        <f>+VLOOKUP(SITUACION_COMPLETO[[#This Row],[CODIGO]],[1]Sheet1!$A:$C,3,0)</f>
        <v>PEQUEÑOS ELECTRO</v>
      </c>
      <c r="G97" s="8">
        <f>IF(SITUACION_COMPLETO[[#This Row],[DISPONIBLE GRAL]]&lt;5,"QUIEBRE",IFERROR(MAX(ROUND(SITUACION_COMPLETO[[#This Row],[DISPONIBLE GRAL]]/SITUACION_COMPLETO[[#This Row],[INDICE DIGITAL]],0),0),"SIN VENTA"))</f>
        <v>3430</v>
      </c>
      <c r="H97" t="s">
        <v>281</v>
      </c>
      <c r="I97" t="str">
        <f>+VLOOKUP(SITUACION_COMPLETO[[#This Row],[CODIGO]],[1]Sheet1!$A:$D,4,0)</f>
        <v>EXPRIMIDORES</v>
      </c>
      <c r="J97" t="s">
        <v>6</v>
      </c>
      <c r="K97">
        <v>0</v>
      </c>
      <c r="L97">
        <v>686</v>
      </c>
      <c r="M97" s="8">
        <v>60</v>
      </c>
      <c r="N97">
        <v>689</v>
      </c>
      <c r="O97">
        <v>627</v>
      </c>
      <c r="P97">
        <v>62</v>
      </c>
      <c r="Q97" s="8">
        <v>0</v>
      </c>
      <c r="R97" s="12"/>
      <c r="S97" s="8"/>
    </row>
    <row r="98" spans="1:19" x14ac:dyDescent="0.3">
      <c r="A98" t="s">
        <v>326</v>
      </c>
      <c r="B98" t="str">
        <f>IF(SITUACION_COMPLETO[[#This Row],[PROXIMO INGRESO ESTIMADO]]&gt;0,"SI","NO")</f>
        <v>SI</v>
      </c>
      <c r="C98">
        <v>0.2</v>
      </c>
      <c r="D98" t="s">
        <v>61</v>
      </c>
      <c r="E98" t="s">
        <v>174</v>
      </c>
      <c r="F98" t="s">
        <v>520</v>
      </c>
      <c r="G98" s="8">
        <f>IF(SITUACION_COMPLETO[[#This Row],[DISPONIBLE GRAL]]&lt;5,"QUIEBRE",IFERROR(MAX(ROUND(SITUACION_COMPLETO[[#This Row],[DISPONIBLE GRAL]]/SITUACION_COMPLETO[[#This Row],[INDICE DIGITAL]],0),0),"SIN VENTA"))</f>
        <v>470</v>
      </c>
      <c r="H98" t="s">
        <v>280</v>
      </c>
      <c r="I98" t="s">
        <v>521</v>
      </c>
      <c r="J98" t="s">
        <v>6</v>
      </c>
      <c r="K98">
        <v>0</v>
      </c>
      <c r="L98">
        <v>94</v>
      </c>
      <c r="M98" s="8">
        <v>0</v>
      </c>
      <c r="N98">
        <v>95</v>
      </c>
      <c r="O98">
        <v>95</v>
      </c>
      <c r="P98">
        <v>0</v>
      </c>
      <c r="Q98" s="8">
        <v>400</v>
      </c>
      <c r="R98" s="12">
        <v>46229</v>
      </c>
      <c r="S98" s="8">
        <v>750</v>
      </c>
    </row>
    <row r="99" spans="1:19" x14ac:dyDescent="0.3">
      <c r="A99" t="s">
        <v>369</v>
      </c>
      <c r="B99" t="str">
        <f>IF(SITUACION_COMPLETO[[#This Row],[PROXIMO INGRESO ESTIMADO]]&gt;0,"SI","NO")</f>
        <v>NO</v>
      </c>
      <c r="C99">
        <v>0.2</v>
      </c>
      <c r="D99" t="s">
        <v>101</v>
      </c>
      <c r="E99" t="s">
        <v>212</v>
      </c>
      <c r="F99" t="str">
        <f>+VLOOKUP(SITUACION_COMPLETO[[#This Row],[CODIGO]],[1]Sheet1!$A:$C,3,0)</f>
        <v>CICLISMO</v>
      </c>
      <c r="G99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99" t="s">
        <v>281</v>
      </c>
      <c r="I99" t="str">
        <f>+VLOOKUP(SITUACION_COMPLETO[[#This Row],[CODIGO]],[1]Sheet1!$A:$D,4,0)</f>
        <v>CICLOCOMPUTADORA</v>
      </c>
      <c r="J99" t="s">
        <v>29</v>
      </c>
      <c r="K99">
        <v>0</v>
      </c>
      <c r="L99">
        <v>3</v>
      </c>
      <c r="M99" s="8">
        <v>-2</v>
      </c>
      <c r="N99">
        <v>5</v>
      </c>
      <c r="O99">
        <v>5</v>
      </c>
      <c r="P99">
        <v>0</v>
      </c>
      <c r="Q99" s="8">
        <v>0</v>
      </c>
      <c r="R99" s="12"/>
      <c r="S99" s="8"/>
    </row>
    <row r="100" spans="1:19" x14ac:dyDescent="0.3">
      <c r="A100" t="s">
        <v>305</v>
      </c>
      <c r="B100" t="str">
        <f>IF(SITUACION_COMPLETO[[#This Row],[PROXIMO INGRESO ESTIMADO]]&gt;0,"SI","NO")</f>
        <v>NO</v>
      </c>
      <c r="C100">
        <v>0.2</v>
      </c>
      <c r="D100" t="s">
        <v>110</v>
      </c>
      <c r="E100" t="s">
        <v>223</v>
      </c>
      <c r="F100" t="str">
        <f>+VLOOKUP(SITUACION_COMPLETO[[#This Row],[CODIGO]],[1]Sheet1!$A:$C,3,0)</f>
        <v>ACCESORIOS</v>
      </c>
      <c r="G100" s="8">
        <f>IF(SITUACION_COMPLETO[[#This Row],[DISPONIBLE GRAL]]&lt;5,"QUIEBRE",IFERROR(MAX(ROUND(SITUACION_COMPLETO[[#This Row],[DISPONIBLE GRAL]]/SITUACION_COMPLETO[[#This Row],[INDICE DIGITAL]],0),0),"SIN VENTA"))</f>
        <v>610</v>
      </c>
      <c r="H100" t="s">
        <v>281</v>
      </c>
      <c r="I100" t="str">
        <f>+VLOOKUP(SITUACION_COMPLETO[[#This Row],[CODIGO]],[1]Sheet1!$A:$D,4,0)</f>
        <v>SOPORTES</v>
      </c>
      <c r="J100" t="s">
        <v>13</v>
      </c>
      <c r="K100">
        <v>0</v>
      </c>
      <c r="L100">
        <v>122</v>
      </c>
      <c r="M100" s="8">
        <v>5</v>
      </c>
      <c r="N100">
        <v>122</v>
      </c>
      <c r="O100">
        <v>117</v>
      </c>
      <c r="P100">
        <v>5</v>
      </c>
      <c r="Q100" s="8">
        <v>0</v>
      </c>
      <c r="R100" s="12"/>
      <c r="S100" s="8"/>
    </row>
    <row r="101" spans="1:19" x14ac:dyDescent="0.3">
      <c r="A101" t="s">
        <v>420</v>
      </c>
      <c r="B101" t="str">
        <f>IF(SITUACION_COMPLETO[[#This Row],[PROXIMO INGRESO ESTIMADO]]&gt;0,"SI","NO")</f>
        <v>NO</v>
      </c>
      <c r="C101">
        <v>0.2</v>
      </c>
      <c r="D101" t="s">
        <v>22</v>
      </c>
      <c r="E101" t="s">
        <v>237</v>
      </c>
      <c r="F101" t="str">
        <f>+VLOOKUP(SITUACION_COMPLETO[[#This Row],[CODIGO]],[1]Sheet1!$A:$C,3,0)</f>
        <v>JUGUETES</v>
      </c>
      <c r="G101" s="8">
        <f>IF(SITUACION_COMPLETO[[#This Row],[DISPONIBLE GRAL]]&lt;5,"QUIEBRE",IFERROR(MAX(ROUND(SITUACION_COMPLETO[[#This Row],[DISPONIBLE GRAL]]/SITUACION_COMPLETO[[#This Row],[INDICE DIGITAL]],0),0),"SIN VENTA"))</f>
        <v>19875</v>
      </c>
      <c r="H101" t="s">
        <v>280</v>
      </c>
      <c r="I101" t="str">
        <f>+VLOOKUP(SITUACION_COMPLETO[[#This Row],[CODIGO]],[1]Sheet1!$A:$D,4,0)</f>
        <v>PISTOLAS DE AGUA</v>
      </c>
      <c r="J101" t="s">
        <v>13</v>
      </c>
      <c r="K101">
        <v>0</v>
      </c>
      <c r="L101">
        <v>3975</v>
      </c>
      <c r="M101" s="8">
        <v>1065</v>
      </c>
      <c r="N101">
        <v>3975</v>
      </c>
      <c r="O101">
        <v>2910</v>
      </c>
      <c r="P101">
        <v>1065</v>
      </c>
      <c r="Q101" s="8">
        <v>0</v>
      </c>
      <c r="R101" s="12"/>
      <c r="S101" s="8"/>
    </row>
    <row r="102" spans="1:19" x14ac:dyDescent="0.3">
      <c r="A102" t="s">
        <v>354</v>
      </c>
      <c r="B102" t="str">
        <f>IF(SITUACION_COMPLETO[[#This Row],[PROXIMO INGRESO ESTIMADO]]&gt;0,"SI","NO")</f>
        <v>NO</v>
      </c>
      <c r="C102">
        <v>0.3</v>
      </c>
      <c r="D102" t="s">
        <v>55</v>
      </c>
      <c r="E102" t="s">
        <v>258</v>
      </c>
      <c r="F102" t="str">
        <f>+VLOOKUP(SITUACION_COMPLETO[[#This Row],[CODIGO]],[1]Sheet1!$A:$C,3,0)</f>
        <v>CLIMATIZACION</v>
      </c>
      <c r="G102" s="8">
        <f>IF(SITUACION_COMPLETO[[#This Row],[DISPONIBLE GRAL]]&lt;5,"QUIEBRE",IFERROR(MAX(ROUND(SITUACION_COMPLETO[[#This Row],[DISPONIBLE GRAL]]/SITUACION_COMPLETO[[#This Row],[INDICE DIGITAL]],0),0),"SIN VENTA"))</f>
        <v>153</v>
      </c>
      <c r="H102" t="s">
        <v>280</v>
      </c>
      <c r="I102" t="str">
        <f>+VLOOKUP(SITUACION_COMPLETO[[#This Row],[CODIGO]],[1]Sheet1!$A:$D,4,0)</f>
        <v>VENTILADORES</v>
      </c>
      <c r="J102" t="s">
        <v>13</v>
      </c>
      <c r="K102">
        <v>1</v>
      </c>
      <c r="L102">
        <v>46</v>
      </c>
      <c r="M102" s="8">
        <v>19</v>
      </c>
      <c r="N102">
        <v>46</v>
      </c>
      <c r="O102">
        <v>27</v>
      </c>
      <c r="P102">
        <v>19</v>
      </c>
      <c r="Q102" s="8">
        <v>0</v>
      </c>
      <c r="R102" s="12"/>
      <c r="S102" s="8"/>
    </row>
    <row r="103" spans="1:19" x14ac:dyDescent="0.3">
      <c r="A103" t="s">
        <v>373</v>
      </c>
      <c r="B103" t="str">
        <f>IF(SITUACION_COMPLETO[[#This Row],[PROXIMO INGRESO ESTIMADO]]&gt;0,"SI","NO")</f>
        <v>NO</v>
      </c>
      <c r="C103">
        <v>0.3</v>
      </c>
      <c r="D103" t="s">
        <v>104</v>
      </c>
      <c r="E103" t="s">
        <v>215</v>
      </c>
      <c r="F103" t="str">
        <f>+VLOOKUP(SITUACION_COMPLETO[[#This Row],[CODIGO]],[1]Sheet1!$A:$C,3,0)</f>
        <v>VARIOS</v>
      </c>
      <c r="G103" s="8">
        <f>IF(SITUACION_COMPLETO[[#This Row],[DISPONIBLE GRAL]]&lt;5,"QUIEBRE",IFERROR(MAX(ROUND(SITUACION_COMPLETO[[#This Row],[DISPONIBLE GRAL]]/SITUACION_COMPLETO[[#This Row],[INDICE DIGITAL]],0),0),"SIN VENTA"))</f>
        <v>1743</v>
      </c>
      <c r="H103" t="s">
        <v>281</v>
      </c>
      <c r="I103" t="str">
        <f>+VLOOKUP(SITUACION_COMPLETO[[#This Row],[CODIGO]],[1]Sheet1!$A:$D,4,0)</f>
        <v>OFICINA</v>
      </c>
      <c r="J103" t="s">
        <v>6</v>
      </c>
      <c r="K103">
        <v>1</v>
      </c>
      <c r="L103">
        <v>523</v>
      </c>
      <c r="M103" s="8">
        <v>19</v>
      </c>
      <c r="N103">
        <v>524</v>
      </c>
      <c r="O103">
        <v>504</v>
      </c>
      <c r="P103">
        <v>20</v>
      </c>
      <c r="Q103" s="8">
        <v>0</v>
      </c>
      <c r="R103" s="12"/>
      <c r="S103" s="8"/>
    </row>
    <row r="104" spans="1:19" x14ac:dyDescent="0.3">
      <c r="A104" t="s">
        <v>395</v>
      </c>
      <c r="B104" t="str">
        <f>IF(SITUACION_COMPLETO[[#This Row],[PROXIMO INGRESO ESTIMADO]]&gt;0,"SI","NO")</f>
        <v>NO</v>
      </c>
      <c r="C104">
        <v>0.3</v>
      </c>
      <c r="D104" t="s">
        <v>128</v>
      </c>
      <c r="E104" t="s">
        <v>243</v>
      </c>
      <c r="F104" t="str">
        <f>+VLOOKUP(SITUACION_COMPLETO[[#This Row],[CODIGO]],[1]Sheet1!$A:$C,3,0)</f>
        <v>ILUMINACION</v>
      </c>
      <c r="G104" s="8">
        <f>IF(SITUACION_COMPLETO[[#This Row],[DISPONIBLE GRAL]]&lt;5,"QUIEBRE",IFERROR(MAX(ROUND(SITUACION_COMPLETO[[#This Row],[DISPONIBLE GRAL]]/SITUACION_COMPLETO[[#This Row],[INDICE DIGITAL]],0),0),"SIN VENTA"))</f>
        <v>7350</v>
      </c>
      <c r="H104" t="s">
        <v>281</v>
      </c>
      <c r="I104" t="str">
        <f>+VLOOKUP(SITUACION_COMPLETO[[#This Row],[CODIGO]],[1]Sheet1!$A:$D,4,0)</f>
        <v>REFLECTORES</v>
      </c>
      <c r="J104" t="s">
        <v>39</v>
      </c>
      <c r="K104">
        <v>1</v>
      </c>
      <c r="L104">
        <v>2205</v>
      </c>
      <c r="M104" s="8">
        <v>62</v>
      </c>
      <c r="N104">
        <v>2205</v>
      </c>
      <c r="O104">
        <v>2143</v>
      </c>
      <c r="P104">
        <v>62</v>
      </c>
      <c r="Q104" s="8">
        <v>0</v>
      </c>
      <c r="R104" s="12"/>
      <c r="S104" s="8"/>
    </row>
    <row r="105" spans="1:19" x14ac:dyDescent="0.3">
      <c r="A105" t="s">
        <v>324</v>
      </c>
      <c r="B105" t="str">
        <f>IF(SITUACION_COMPLETO[[#This Row],[PROXIMO INGRESO ESTIMADO]]&gt;0,"SI","NO")</f>
        <v>NO</v>
      </c>
      <c r="C105">
        <v>0.4</v>
      </c>
      <c r="D105" t="s">
        <v>92</v>
      </c>
      <c r="E105" t="s">
        <v>203</v>
      </c>
      <c r="F105" t="str">
        <f>+VLOOKUP(SITUACION_COMPLETO[[#This Row],[CODIGO]],[1]Sheet1!$A:$C,3,0)</f>
        <v>ILUMINACION</v>
      </c>
      <c r="G105" s="8">
        <f>IF(SITUACION_COMPLETO[[#This Row],[DISPONIBLE GRAL]]&lt;5,"QUIEBRE",IFERROR(MAX(ROUND(SITUACION_COMPLETO[[#This Row],[DISPONIBLE GRAL]]/SITUACION_COMPLETO[[#This Row],[INDICE DIGITAL]],0),0),"SIN VENTA"))</f>
        <v>178</v>
      </c>
      <c r="H105" t="s">
        <v>281</v>
      </c>
      <c r="I105" t="str">
        <f>+VLOOKUP(SITUACION_COMPLETO[[#This Row],[CODIGO]],[1]Sheet1!$A:$D,4,0)</f>
        <v>LUCES DE EMERGENCIA</v>
      </c>
      <c r="J105" t="s">
        <v>39</v>
      </c>
      <c r="K105">
        <v>0</v>
      </c>
      <c r="L105">
        <v>71</v>
      </c>
      <c r="M105" s="8">
        <v>24</v>
      </c>
      <c r="N105">
        <v>71</v>
      </c>
      <c r="O105">
        <v>47</v>
      </c>
      <c r="P105">
        <v>24</v>
      </c>
      <c r="Q105" s="8">
        <v>0</v>
      </c>
      <c r="R105" s="12"/>
      <c r="S105" s="8"/>
    </row>
    <row r="106" spans="1:19" x14ac:dyDescent="0.3">
      <c r="A106" t="s">
        <v>332</v>
      </c>
      <c r="B106" t="str">
        <f>IF(SITUACION_COMPLETO[[#This Row],[PROXIMO INGRESO ESTIMADO]]&gt;0,"SI","NO")</f>
        <v>NO</v>
      </c>
      <c r="C106">
        <v>0.4</v>
      </c>
      <c r="D106" t="s">
        <v>69</v>
      </c>
      <c r="E106" t="s">
        <v>181</v>
      </c>
      <c r="F106" t="str">
        <f>+VLOOKUP(SITUACION_COMPLETO[[#This Row],[CODIGO]],[1]Sheet1!$A:$C,3,0)</f>
        <v>BIENESTAR</v>
      </c>
      <c r="G106" s="8">
        <f>IF(SITUACION_COMPLETO[[#This Row],[DISPONIBLE GRAL]]&lt;5,"QUIEBRE",IFERROR(MAX(ROUND(SITUACION_COMPLETO[[#This Row],[DISPONIBLE GRAL]]/SITUACION_COMPLETO[[#This Row],[INDICE DIGITAL]],0),0),"SIN VENTA"))</f>
        <v>215</v>
      </c>
      <c r="H106" t="s">
        <v>280</v>
      </c>
      <c r="I106" t="str">
        <f>+VLOOKUP(SITUACION_COMPLETO[[#This Row],[CODIGO]],[1]Sheet1!$A:$D,4,0)</f>
        <v>MASAJEADORES</v>
      </c>
      <c r="J106" t="s">
        <v>6</v>
      </c>
      <c r="K106">
        <v>1</v>
      </c>
      <c r="L106">
        <v>86</v>
      </c>
      <c r="M106" s="8">
        <v>3</v>
      </c>
      <c r="N106">
        <v>87</v>
      </c>
      <c r="O106">
        <v>84</v>
      </c>
      <c r="P106">
        <v>3</v>
      </c>
      <c r="Q106" s="8">
        <v>902</v>
      </c>
      <c r="R106" s="12"/>
      <c r="S106" s="8"/>
    </row>
    <row r="107" spans="1:19" x14ac:dyDescent="0.3">
      <c r="A107" t="s">
        <v>423</v>
      </c>
      <c r="B107" t="str">
        <f>IF(SITUACION_COMPLETO[[#This Row],[PROXIMO INGRESO ESTIMADO]]&gt;0,"SI","NO")</f>
        <v>NO</v>
      </c>
      <c r="C107">
        <v>0.4</v>
      </c>
      <c r="D107" t="s">
        <v>277</v>
      </c>
      <c r="E107" t="s">
        <v>283</v>
      </c>
      <c r="F107" t="str">
        <f>+VLOOKUP(SITUACION_COMPLETO[[#This Row],[CODIGO]],[1]Sheet1!$A:$C,3,0)</f>
        <v>UTILES</v>
      </c>
      <c r="G107" s="8">
        <f>IF(SITUACION_COMPLETO[[#This Row],[DISPONIBLE GRAL]]&lt;5,"QUIEBRE",IFERROR(MAX(ROUND(SITUACION_COMPLETO[[#This Row],[DISPONIBLE GRAL]]/SITUACION_COMPLETO[[#This Row],[INDICE DIGITAL]],0),0),"SIN VENTA"))</f>
        <v>578</v>
      </c>
      <c r="H107" t="s">
        <v>280</v>
      </c>
      <c r="I107" t="str">
        <f>+VLOOKUP(SITUACION_COMPLETO[[#This Row],[CODIGO]],[1]Sheet1!$A:$D,4,0)</f>
        <v>SET ARTE</v>
      </c>
      <c r="J107" t="s">
        <v>13</v>
      </c>
      <c r="K107">
        <v>0</v>
      </c>
      <c r="L107">
        <v>231</v>
      </c>
      <c r="M107" s="8">
        <v>119</v>
      </c>
      <c r="N107">
        <v>232</v>
      </c>
      <c r="O107">
        <v>112</v>
      </c>
      <c r="P107">
        <v>120</v>
      </c>
      <c r="Q107" s="8">
        <v>0</v>
      </c>
      <c r="R107" s="12"/>
      <c r="S107" s="8"/>
    </row>
    <row r="108" spans="1:19" x14ac:dyDescent="0.3">
      <c r="A108" t="s">
        <v>331</v>
      </c>
      <c r="B108" t="str">
        <f>IF(SITUACION_COMPLETO[[#This Row],[PROXIMO INGRESO ESTIMADO]]&gt;0,"SI","NO")</f>
        <v>NO</v>
      </c>
      <c r="C108">
        <v>0.5</v>
      </c>
      <c r="D108" t="s">
        <v>68</v>
      </c>
      <c r="E108" t="s">
        <v>180</v>
      </c>
      <c r="F108" t="str">
        <f>+VLOOKUP(SITUACION_COMPLETO[[#This Row],[CODIGO]],[1]Sheet1!$A:$C,3,0)</f>
        <v>BIENESTAR</v>
      </c>
      <c r="G108" s="8">
        <f>IF(SITUACION_COMPLETO[[#This Row],[DISPONIBLE GRAL]]&lt;5,"QUIEBRE",IFERROR(MAX(ROUND(SITUACION_COMPLETO[[#This Row],[DISPONIBLE GRAL]]/SITUACION_COMPLETO[[#This Row],[INDICE DIGITAL]],0),0),"SIN VENTA"))</f>
        <v>194</v>
      </c>
      <c r="H108" t="s">
        <v>280</v>
      </c>
      <c r="I108" t="str">
        <f>+VLOOKUP(SITUACION_COMPLETO[[#This Row],[CODIGO]],[1]Sheet1!$A:$D,4,0)</f>
        <v>MASAJEADORES</v>
      </c>
      <c r="J108" t="s">
        <v>6</v>
      </c>
      <c r="K108">
        <v>1</v>
      </c>
      <c r="L108">
        <v>97</v>
      </c>
      <c r="M108" s="8">
        <v>36</v>
      </c>
      <c r="N108">
        <v>98</v>
      </c>
      <c r="O108">
        <v>61</v>
      </c>
      <c r="P108">
        <v>37</v>
      </c>
      <c r="Q108" s="8">
        <v>920</v>
      </c>
      <c r="R108" s="12"/>
      <c r="S108" s="8"/>
    </row>
    <row r="109" spans="1:19" x14ac:dyDescent="0.3">
      <c r="A109" t="s">
        <v>408</v>
      </c>
      <c r="B109" t="str">
        <f>IF(SITUACION_COMPLETO[[#This Row],[PROXIMO INGRESO ESTIMADO]]&gt;0,"SI","NO")</f>
        <v>NO</v>
      </c>
      <c r="C109">
        <v>0.5</v>
      </c>
      <c r="D109" t="s">
        <v>133</v>
      </c>
      <c r="E109" t="s">
        <v>249</v>
      </c>
      <c r="F109" t="str">
        <f>+VLOOKUP(SITUACION_COMPLETO[[#This Row],[CODIGO]],[1]Sheet1!$A:$C,3,0)</f>
        <v>PEQUEÑOS ELECTRO</v>
      </c>
      <c r="G109" s="8">
        <f>IF(SITUACION_COMPLETO[[#This Row],[DISPONIBLE GRAL]]&lt;5,"QUIEBRE",IFERROR(MAX(ROUND(SITUACION_COMPLETO[[#This Row],[DISPONIBLE GRAL]]/SITUACION_COMPLETO[[#This Row],[INDICE DIGITAL]],0),0),"SIN VENTA"))</f>
        <v>192</v>
      </c>
      <c r="H109" t="s">
        <v>280</v>
      </c>
      <c r="I109" t="str">
        <f>+VLOOKUP(SITUACION_COMPLETO[[#This Row],[CODIGO]],[1]Sheet1!$A:$D,4,0)</f>
        <v>SANDWICHERAS</v>
      </c>
      <c r="J109" t="s">
        <v>6</v>
      </c>
      <c r="K109">
        <v>0</v>
      </c>
      <c r="L109">
        <v>96</v>
      </c>
      <c r="M109" s="8">
        <v>90</v>
      </c>
      <c r="N109">
        <v>96</v>
      </c>
      <c r="O109">
        <v>6</v>
      </c>
      <c r="P109">
        <v>90</v>
      </c>
      <c r="Q109" s="8">
        <v>2000</v>
      </c>
      <c r="R109" s="12"/>
      <c r="S109" s="8"/>
    </row>
    <row r="110" spans="1:19" x14ac:dyDescent="0.3">
      <c r="A110" t="s">
        <v>382</v>
      </c>
      <c r="B110" t="str">
        <f>IF(SITUACION_COMPLETO[[#This Row],[PROXIMO INGRESO ESTIMADO]]&gt;0,"SI","NO")</f>
        <v>NO</v>
      </c>
      <c r="C110">
        <v>0.5</v>
      </c>
      <c r="D110" t="s">
        <v>113</v>
      </c>
      <c r="E110" t="s">
        <v>226</v>
      </c>
      <c r="F110" t="str">
        <f>+VLOOKUP(SITUACION_COMPLETO[[#This Row],[CODIGO]],[1]Sheet1!$A:$C,3,0)</f>
        <v>HERRAMIENTAS</v>
      </c>
      <c r="G110" s="8">
        <f>IF(SITUACION_COMPLETO[[#This Row],[DISPONIBLE GRAL]]&lt;5,"QUIEBRE",IFERROR(MAX(ROUND(SITUACION_COMPLETO[[#This Row],[DISPONIBLE GRAL]]/SITUACION_COMPLETO[[#This Row],[INDICE DIGITAL]],0),0),"SIN VENTA"))</f>
        <v>940</v>
      </c>
      <c r="H110" t="s">
        <v>280</v>
      </c>
      <c r="I110" t="str">
        <f>+VLOOKUP(SITUACION_COMPLETO[[#This Row],[CODIGO]],[1]Sheet1!$A:$D,4,0)</f>
        <v>PERFORACION</v>
      </c>
      <c r="J110" t="s">
        <v>6</v>
      </c>
      <c r="K110">
        <v>0</v>
      </c>
      <c r="L110">
        <v>470</v>
      </c>
      <c r="M110" s="8">
        <v>37</v>
      </c>
      <c r="N110">
        <v>472</v>
      </c>
      <c r="O110">
        <v>434</v>
      </c>
      <c r="P110">
        <v>38</v>
      </c>
      <c r="Q110" s="8">
        <v>500</v>
      </c>
      <c r="R110" s="12"/>
      <c r="S110" s="8"/>
    </row>
    <row r="111" spans="1:19" x14ac:dyDescent="0.3">
      <c r="A111" t="s">
        <v>317</v>
      </c>
      <c r="B111" t="str">
        <f>IF(SITUACION_COMPLETO[[#This Row],[PROXIMO INGRESO ESTIMADO]]&gt;0,"SI","NO")</f>
        <v>NO</v>
      </c>
      <c r="C111">
        <v>0.6</v>
      </c>
      <c r="D111" t="s">
        <v>11</v>
      </c>
      <c r="E111" t="s">
        <v>159</v>
      </c>
      <c r="F111" t="str">
        <f>+VLOOKUP(SITUACION_COMPLETO[[#This Row],[CODIGO]],[1]Sheet1!$A:$C,3,0)</f>
        <v>CCTV</v>
      </c>
      <c r="G111" s="8">
        <f>IF(SITUACION_COMPLETO[[#This Row],[DISPONIBLE GRAL]]&lt;5,"QUIEBRE",IFERROR(MAX(ROUND(SITUACION_COMPLETO[[#This Row],[DISPONIBLE GRAL]]/SITUACION_COMPLETO[[#This Row],[INDICE DIGITAL]],0),0),"SIN VENTA"))</f>
        <v>607</v>
      </c>
      <c r="H111" t="s">
        <v>281</v>
      </c>
      <c r="I111" t="str">
        <f>+VLOOKUP(SITUACION_COMPLETO[[#This Row],[CODIGO]],[1]Sheet1!$A:$D,4,0)</f>
        <v>CAMARA SEGURIDAD</v>
      </c>
      <c r="J111" t="s">
        <v>10</v>
      </c>
      <c r="K111">
        <v>112</v>
      </c>
      <c r="L111">
        <v>364</v>
      </c>
      <c r="M111" s="8">
        <v>0</v>
      </c>
      <c r="N111">
        <v>364</v>
      </c>
      <c r="O111">
        <v>364</v>
      </c>
      <c r="P111">
        <v>0</v>
      </c>
      <c r="Q111" s="8">
        <v>0</v>
      </c>
      <c r="R111" s="12"/>
      <c r="S111" s="8"/>
    </row>
    <row r="112" spans="1:19" x14ac:dyDescent="0.3">
      <c r="A112" t="s">
        <v>463</v>
      </c>
      <c r="B112" t="str">
        <f>IF(SITUACION_COMPLETO[[#This Row],[PROXIMO INGRESO ESTIMADO]]&gt;0,"SI","NO")</f>
        <v>SI</v>
      </c>
      <c r="C112">
        <v>0.6</v>
      </c>
      <c r="D112" t="s">
        <v>275</v>
      </c>
      <c r="E112" t="s">
        <v>518</v>
      </c>
      <c r="F112" t="s">
        <v>523</v>
      </c>
      <c r="G112" s="8">
        <f>IF(SITUACION_COMPLETO[[#This Row],[DISPONIBLE GRAL]]&lt;5,"QUIEBRE",IFERROR(MAX(ROUND(SITUACION_COMPLETO[[#This Row],[DISPONIBLE GRAL]]/SITUACION_COMPLETO[[#This Row],[INDICE DIGITAL]],0),0),"SIN VENTA"))</f>
        <v>787</v>
      </c>
      <c r="H112" t="s">
        <v>280</v>
      </c>
      <c r="I112" t="s">
        <v>525</v>
      </c>
      <c r="J112" t="s">
        <v>6</v>
      </c>
      <c r="K112">
        <v>0</v>
      </c>
      <c r="L112">
        <v>472</v>
      </c>
      <c r="M112" s="8">
        <v>0</v>
      </c>
      <c r="N112">
        <v>481</v>
      </c>
      <c r="O112">
        <v>481</v>
      </c>
      <c r="P112">
        <v>0</v>
      </c>
      <c r="Q112" s="8">
        <v>0</v>
      </c>
      <c r="R112" s="12">
        <v>46280</v>
      </c>
      <c r="S112" s="8">
        <v>1000</v>
      </c>
    </row>
    <row r="113" spans="1:19" x14ac:dyDescent="0.3">
      <c r="A113" t="s">
        <v>342</v>
      </c>
      <c r="B113" t="str">
        <f>IF(SITUACION_COMPLETO[[#This Row],[PROXIMO INGRESO ESTIMADO]]&gt;0,"SI","NO")</f>
        <v>NO</v>
      </c>
      <c r="C113">
        <v>0.6</v>
      </c>
      <c r="D113" t="s">
        <v>51</v>
      </c>
      <c r="E113" t="s">
        <v>164</v>
      </c>
      <c r="F113" t="str">
        <f>+VLOOKUP(SITUACION_COMPLETO[[#This Row],[CODIGO]],[1]Sheet1!$A:$C,3,0)</f>
        <v>PEQUEÑOS ELECTRO</v>
      </c>
      <c r="G113" s="8">
        <f>IF(SITUACION_COMPLETO[[#This Row],[DISPONIBLE GRAL]]&lt;5,"QUIEBRE",IFERROR(MAX(ROUND(SITUACION_COMPLETO[[#This Row],[DISPONIBLE GRAL]]/SITUACION_COMPLETO[[#This Row],[INDICE DIGITAL]],0),0),"SIN VENTA"))</f>
        <v>867</v>
      </c>
      <c r="H113" t="s">
        <v>280</v>
      </c>
      <c r="I113" t="str">
        <f>+VLOOKUP(SITUACION_COMPLETO[[#This Row],[CODIGO]],[1]Sheet1!$A:$D,4,0)</f>
        <v>EXPRIMIDORES</v>
      </c>
      <c r="J113" t="s">
        <v>6</v>
      </c>
      <c r="K113">
        <v>2</v>
      </c>
      <c r="L113">
        <v>520</v>
      </c>
      <c r="M113" s="8">
        <v>24</v>
      </c>
      <c r="N113">
        <v>520</v>
      </c>
      <c r="O113">
        <v>496</v>
      </c>
      <c r="P113">
        <v>24</v>
      </c>
      <c r="Q113" s="8">
        <v>0</v>
      </c>
      <c r="R113" s="12"/>
      <c r="S113" s="8"/>
    </row>
    <row r="114" spans="1:19" x14ac:dyDescent="0.3">
      <c r="A114" t="s">
        <v>330</v>
      </c>
      <c r="B114" t="str">
        <f>IF(SITUACION_COMPLETO[[#This Row],[PROXIMO INGRESO ESTIMADO]]&gt;0,"SI","NO")</f>
        <v>NO</v>
      </c>
      <c r="C114">
        <v>0.6</v>
      </c>
      <c r="D114" t="s">
        <v>67</v>
      </c>
      <c r="E114" t="s">
        <v>179</v>
      </c>
      <c r="F114" t="str">
        <f>+VLOOKUP(SITUACION_COMPLETO[[#This Row],[CODIGO]],[1]Sheet1!$A:$C,3,0)</f>
        <v>BIENESTAR</v>
      </c>
      <c r="G114" s="8">
        <f>IF(SITUACION_COMPLETO[[#This Row],[DISPONIBLE GRAL]]&lt;5,"QUIEBRE",IFERROR(MAX(ROUND(SITUACION_COMPLETO[[#This Row],[DISPONIBLE GRAL]]/SITUACION_COMPLETO[[#This Row],[INDICE DIGITAL]],0),0),"SIN VENTA"))</f>
        <v>1592</v>
      </c>
      <c r="H114" t="s">
        <v>280</v>
      </c>
      <c r="I114" t="str">
        <f>+VLOOKUP(SITUACION_COMPLETO[[#This Row],[CODIGO]],[1]Sheet1!$A:$D,4,0)</f>
        <v>MASAJEADORES</v>
      </c>
      <c r="J114" t="s">
        <v>6</v>
      </c>
      <c r="K114">
        <v>1</v>
      </c>
      <c r="L114">
        <v>955</v>
      </c>
      <c r="M114" s="8">
        <v>28</v>
      </c>
      <c r="N114">
        <v>955</v>
      </c>
      <c r="O114">
        <v>927</v>
      </c>
      <c r="P114">
        <v>28</v>
      </c>
      <c r="Q114" s="8">
        <v>0</v>
      </c>
      <c r="R114" s="12"/>
      <c r="S114" s="8"/>
    </row>
    <row r="115" spans="1:19" x14ac:dyDescent="0.3">
      <c r="A115" t="s">
        <v>380</v>
      </c>
      <c r="B115" t="str">
        <f>IF(SITUACION_COMPLETO[[#This Row],[PROXIMO INGRESO ESTIMADO]]&gt;0,"SI","NO")</f>
        <v>NO</v>
      </c>
      <c r="C115">
        <v>0.6</v>
      </c>
      <c r="D115" t="s">
        <v>112</v>
      </c>
      <c r="E115" t="s">
        <v>225</v>
      </c>
      <c r="F115" t="str">
        <f>+VLOOKUP(SITUACION_COMPLETO[[#This Row],[CODIGO]],[1]Sheet1!$A:$C,3,0)</f>
        <v>AUDIO</v>
      </c>
      <c r="G115" s="8">
        <f>IF(SITUACION_COMPLETO[[#This Row],[DISPONIBLE GRAL]]&lt;5,"QUIEBRE",IFERROR(MAX(ROUND(SITUACION_COMPLETO[[#This Row],[DISPONIBLE GRAL]]/SITUACION_COMPLETO[[#This Row],[INDICE DIGITAL]],0),0),"SIN VENTA"))</f>
        <v>140</v>
      </c>
      <c r="H115" t="s">
        <v>281</v>
      </c>
      <c r="I115" t="str">
        <f>+VLOOKUP(SITUACION_COMPLETO[[#This Row],[CODIGO]],[1]Sheet1!$A:$D,4,0)</f>
        <v>PARLANTES PORTATILES</v>
      </c>
      <c r="J115" t="s">
        <v>6</v>
      </c>
      <c r="K115">
        <v>0</v>
      </c>
      <c r="L115">
        <v>84</v>
      </c>
      <c r="M115" s="8">
        <v>30</v>
      </c>
      <c r="N115">
        <v>85</v>
      </c>
      <c r="O115">
        <v>54</v>
      </c>
      <c r="P115">
        <v>31</v>
      </c>
      <c r="Q115" s="8">
        <v>0</v>
      </c>
      <c r="R115" s="12"/>
      <c r="S115" s="8"/>
    </row>
    <row r="116" spans="1:19" x14ac:dyDescent="0.3">
      <c r="A116" t="s">
        <v>307</v>
      </c>
      <c r="B116" t="str">
        <f>IF(SITUACION_COMPLETO[[#This Row],[PROXIMO INGRESO ESTIMADO]]&gt;0,"SI","NO")</f>
        <v>NO</v>
      </c>
      <c r="C116">
        <v>0.8</v>
      </c>
      <c r="D116" t="s">
        <v>34</v>
      </c>
      <c r="E116" t="s">
        <v>147</v>
      </c>
      <c r="F116" t="str">
        <f>+VLOOKUP(SITUACION_COMPLETO[[#This Row],[CODIGO]],[1]Sheet1!$A:$C,3,0)</f>
        <v>HERRAMIENTAS</v>
      </c>
      <c r="G116" s="8">
        <f>IF(SITUACION_COMPLETO[[#This Row],[DISPONIBLE GRAL]]&lt;5,"QUIEBRE",IFERROR(MAX(ROUND(SITUACION_COMPLETO[[#This Row],[DISPONIBLE GRAL]]/SITUACION_COMPLETO[[#This Row],[INDICE DIGITAL]],0),0),"SIN VENTA"))</f>
        <v>1795</v>
      </c>
      <c r="H116" t="s">
        <v>280</v>
      </c>
      <c r="I116" t="str">
        <f>+VLOOKUP(SITUACION_COMPLETO[[#This Row],[CODIGO]],[1]Sheet1!$A:$D,4,0)</f>
        <v>PERFORACION</v>
      </c>
      <c r="J116" t="s">
        <v>6</v>
      </c>
      <c r="K116">
        <v>0</v>
      </c>
      <c r="L116">
        <v>1436</v>
      </c>
      <c r="M116" s="8">
        <v>19</v>
      </c>
      <c r="N116">
        <v>1444</v>
      </c>
      <c r="O116">
        <v>1417</v>
      </c>
      <c r="P116">
        <v>27</v>
      </c>
      <c r="Q116" s="8">
        <v>0</v>
      </c>
      <c r="R116" s="12"/>
      <c r="S116" s="8"/>
    </row>
    <row r="117" spans="1:19" x14ac:dyDescent="0.3">
      <c r="A117" t="s">
        <v>325</v>
      </c>
      <c r="B117" t="str">
        <f>IF(SITUACION_COMPLETO[[#This Row],[PROXIMO INGRESO ESTIMADO]]&gt;0,"SI","NO")</f>
        <v>SI</v>
      </c>
      <c r="C117">
        <v>0.8</v>
      </c>
      <c r="D117" t="s">
        <v>60</v>
      </c>
      <c r="E117" t="s">
        <v>173</v>
      </c>
      <c r="F117" t="str">
        <f>+VLOOKUP(SITUACION_COMPLETO[[#This Row],[CODIGO]],[1]Sheet1!$A:$C,3,0)</f>
        <v>HERRAMIENTAS</v>
      </c>
      <c r="G117" s="8">
        <f>IF(SITUACION_COMPLETO[[#This Row],[DISPONIBLE GRAL]]&lt;5,"QUIEBRE",IFERROR(MAX(ROUND(SITUACION_COMPLETO[[#This Row],[DISPONIBLE GRAL]]/SITUACION_COMPLETO[[#This Row],[INDICE DIGITAL]],0),0),"SIN VENTA"))</f>
        <v>588</v>
      </c>
      <c r="H117" t="s">
        <v>280</v>
      </c>
      <c r="I117" t="str">
        <f>+VLOOKUP(SITUACION_COMPLETO[[#This Row],[CODIGO]],[1]Sheet1!$A:$D,4,0)</f>
        <v>LIJADORAS</v>
      </c>
      <c r="J117" t="s">
        <v>6</v>
      </c>
      <c r="K117">
        <v>0</v>
      </c>
      <c r="L117">
        <v>470</v>
      </c>
      <c r="M117" s="8">
        <v>1</v>
      </c>
      <c r="N117">
        <v>485</v>
      </c>
      <c r="O117">
        <v>484</v>
      </c>
      <c r="P117">
        <v>1</v>
      </c>
      <c r="Q117" s="8">
        <v>0</v>
      </c>
      <c r="R117" s="12">
        <v>46215</v>
      </c>
      <c r="S117" s="8">
        <v>504</v>
      </c>
    </row>
    <row r="118" spans="1:19" x14ac:dyDescent="0.3">
      <c r="A118" t="s">
        <v>304</v>
      </c>
      <c r="B118" t="str">
        <f>IF(SITUACION_COMPLETO[[#This Row],[PROXIMO INGRESO ESTIMADO]]&gt;0,"SI","NO")</f>
        <v>NO</v>
      </c>
      <c r="C118">
        <v>0.9</v>
      </c>
      <c r="D118" t="s">
        <v>32</v>
      </c>
      <c r="E118" t="s">
        <v>144</v>
      </c>
      <c r="F118" t="str">
        <f>+VLOOKUP(SITUACION_COMPLETO[[#This Row],[CODIGO]],[1]Sheet1!$A:$C,3,0)</f>
        <v>CICLISMO</v>
      </c>
      <c r="G118" s="8">
        <f>IF(SITUACION_COMPLETO[[#This Row],[DISPONIBLE GRAL]]&lt;5,"QUIEBRE",IFERROR(MAX(ROUND(SITUACION_COMPLETO[[#This Row],[DISPONIBLE GRAL]]/SITUACION_COMPLETO[[#This Row],[INDICE DIGITAL]],0),0),"SIN VENTA"))</f>
        <v>261</v>
      </c>
      <c r="H118" t="s">
        <v>280</v>
      </c>
      <c r="I118" t="str">
        <f>+VLOOKUP(SITUACION_COMPLETO[[#This Row],[CODIGO]],[1]Sheet1!$A:$D,4,0)</f>
        <v>COMPRESORES</v>
      </c>
      <c r="J118" t="s">
        <v>29</v>
      </c>
      <c r="K118">
        <v>0</v>
      </c>
      <c r="L118">
        <v>235</v>
      </c>
      <c r="M118" s="8">
        <v>17</v>
      </c>
      <c r="N118">
        <v>239</v>
      </c>
      <c r="O118">
        <v>222</v>
      </c>
      <c r="P118">
        <v>17</v>
      </c>
      <c r="Q118" s="8">
        <v>0</v>
      </c>
      <c r="R118" s="12"/>
      <c r="S118" s="8"/>
    </row>
    <row r="119" spans="1:19" x14ac:dyDescent="0.3">
      <c r="A119" t="s">
        <v>305</v>
      </c>
      <c r="B119" t="str">
        <f>IF(SITUACION_COMPLETO[[#This Row],[PROXIMO INGRESO ESTIMADO]]&gt;0,"SI","NO")</f>
        <v>NO</v>
      </c>
      <c r="C119">
        <v>0.9</v>
      </c>
      <c r="D119" t="s">
        <v>33</v>
      </c>
      <c r="E119" t="s">
        <v>146</v>
      </c>
      <c r="F119" t="str">
        <f>+VLOOKUP(SITUACION_COMPLETO[[#This Row],[CODIGO]],[1]Sheet1!$A:$C,3,0)</f>
        <v>VARIOS</v>
      </c>
      <c r="G119" s="8">
        <f>IF(SITUACION_COMPLETO[[#This Row],[DISPONIBLE GRAL]]&lt;5,"QUIEBRE",IFERROR(MAX(ROUND(SITUACION_COMPLETO[[#This Row],[DISPONIBLE GRAL]]/SITUACION_COMPLETO[[#This Row],[INDICE DIGITAL]],0),0),"SIN VENTA"))</f>
        <v>600</v>
      </c>
      <c r="H119" t="s">
        <v>281</v>
      </c>
      <c r="I119" t="str">
        <f>+VLOOKUP(SITUACION_COMPLETO[[#This Row],[CODIGO]],[1]Sheet1!$A:$D,4,0)</f>
        <v>FITNESS</v>
      </c>
      <c r="J119" t="s">
        <v>7</v>
      </c>
      <c r="K119">
        <v>0</v>
      </c>
      <c r="L119">
        <v>540</v>
      </c>
      <c r="M119" s="8">
        <v>21</v>
      </c>
      <c r="N119">
        <v>540</v>
      </c>
      <c r="O119">
        <v>519</v>
      </c>
      <c r="P119">
        <v>21</v>
      </c>
      <c r="Q119" s="8">
        <v>0</v>
      </c>
      <c r="R119" s="12"/>
      <c r="S119" s="8"/>
    </row>
    <row r="120" spans="1:19" x14ac:dyDescent="0.3">
      <c r="A120" t="s">
        <v>322</v>
      </c>
      <c r="B120" t="str">
        <f>IF(SITUACION_COMPLETO[[#This Row],[PROXIMO INGRESO ESTIMADO]]&gt;0,"SI","NO")</f>
        <v>NO</v>
      </c>
      <c r="C120">
        <v>0.9</v>
      </c>
      <c r="D120" t="s">
        <v>47</v>
      </c>
      <c r="E120" t="s">
        <v>158</v>
      </c>
      <c r="F120" t="str">
        <f>+VLOOKUP(SITUACION_COMPLETO[[#This Row],[CODIGO]],[1]Sheet1!$A:$C,3,0)</f>
        <v>HERRAMIENTAS</v>
      </c>
      <c r="G120" s="8">
        <f>IF(SITUACION_COMPLETO[[#This Row],[DISPONIBLE GRAL]]&lt;5,"QUIEBRE",IFERROR(MAX(ROUND(SITUACION_COMPLETO[[#This Row],[DISPONIBLE GRAL]]/SITUACION_COMPLETO[[#This Row],[INDICE DIGITAL]],0),0),"SIN VENTA"))</f>
        <v>480</v>
      </c>
      <c r="H120" t="s">
        <v>280</v>
      </c>
      <c r="I120" t="str">
        <f>+VLOOKUP(SITUACION_COMPLETO[[#This Row],[CODIGO]],[1]Sheet1!$A:$D,4,0)</f>
        <v>PERFORACION</v>
      </c>
      <c r="J120" t="s">
        <v>6</v>
      </c>
      <c r="K120">
        <v>0</v>
      </c>
      <c r="L120">
        <v>432</v>
      </c>
      <c r="M120" s="8">
        <v>20</v>
      </c>
      <c r="N120">
        <v>433</v>
      </c>
      <c r="O120">
        <v>412</v>
      </c>
      <c r="P120">
        <v>21</v>
      </c>
      <c r="Q120" s="8">
        <v>500</v>
      </c>
      <c r="R120" s="12"/>
      <c r="S120" s="8"/>
    </row>
    <row r="121" spans="1:19" x14ac:dyDescent="0.3">
      <c r="A121" t="s">
        <v>417</v>
      </c>
      <c r="B121" t="str">
        <f>IF(SITUACION_COMPLETO[[#This Row],[PROXIMO INGRESO ESTIMADO]]&gt;0,"SI","NO")</f>
        <v>NO</v>
      </c>
      <c r="C121">
        <v>0.9</v>
      </c>
      <c r="D121" t="s">
        <v>14</v>
      </c>
      <c r="E121" t="s">
        <v>248</v>
      </c>
      <c r="F121" t="str">
        <f>+VLOOKUP(SITUACION_COMPLETO[[#This Row],[CODIGO]],[1]Sheet1!$A:$C,3,0)</f>
        <v>JUGUETES</v>
      </c>
      <c r="G121" s="8">
        <f>IF(SITUACION_COMPLETO[[#This Row],[DISPONIBLE GRAL]]&lt;5,"QUIEBRE",IFERROR(MAX(ROUND(SITUACION_COMPLETO[[#This Row],[DISPONIBLE GRAL]]/SITUACION_COMPLETO[[#This Row],[INDICE DIGITAL]],0),0),"SIN VENTA"))</f>
        <v>250</v>
      </c>
      <c r="H121" t="s">
        <v>280</v>
      </c>
      <c r="I121" t="str">
        <f>+VLOOKUP(SITUACION_COMPLETO[[#This Row],[CODIGO]],[1]Sheet1!$A:$D,4,0)</f>
        <v>PISTOLAS DE BURBUJAS</v>
      </c>
      <c r="J121" t="s">
        <v>13</v>
      </c>
      <c r="K121">
        <v>1</v>
      </c>
      <c r="L121">
        <v>225</v>
      </c>
      <c r="M121" s="8">
        <v>220</v>
      </c>
      <c r="N121">
        <v>229</v>
      </c>
      <c r="O121">
        <v>5</v>
      </c>
      <c r="P121">
        <v>224</v>
      </c>
      <c r="Q121" s="8">
        <v>1008</v>
      </c>
      <c r="R121" s="12"/>
      <c r="S121" s="8"/>
    </row>
    <row r="122" spans="1:19" x14ac:dyDescent="0.3">
      <c r="A122" t="s">
        <v>411</v>
      </c>
      <c r="B122" t="str">
        <f>IF(SITUACION_COMPLETO[[#This Row],[PROXIMO INGRESO ESTIMADO]]&gt;0,"SI","NO")</f>
        <v>NO</v>
      </c>
      <c r="C122">
        <v>0.9</v>
      </c>
      <c r="D122" t="s">
        <v>121</v>
      </c>
      <c r="E122" t="s">
        <v>234</v>
      </c>
      <c r="F122" t="str">
        <f>+VLOOKUP(SITUACION_COMPLETO[[#This Row],[CODIGO]],[1]Sheet1!$A:$C,3,0)</f>
        <v>ILUMINACION</v>
      </c>
      <c r="G122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22" t="s">
        <v>281</v>
      </c>
      <c r="I122" t="str">
        <f>+VLOOKUP(SITUACION_COMPLETO[[#This Row],[CODIGO]],[1]Sheet1!$A:$D,4,0)</f>
        <v>REFLECTORES</v>
      </c>
      <c r="J122" t="s">
        <v>39</v>
      </c>
      <c r="K122">
        <v>0</v>
      </c>
      <c r="L122">
        <v>3</v>
      </c>
      <c r="M122" s="8">
        <v>3</v>
      </c>
      <c r="N122">
        <v>3</v>
      </c>
      <c r="O122">
        <v>0</v>
      </c>
      <c r="P122">
        <v>3</v>
      </c>
      <c r="Q122" s="8">
        <v>0</v>
      </c>
      <c r="R122" s="12"/>
      <c r="S122" s="8"/>
    </row>
    <row r="123" spans="1:19" x14ac:dyDescent="0.3">
      <c r="A123" t="s">
        <v>302</v>
      </c>
      <c r="B123" t="str">
        <f>IF(SITUACION_COMPLETO[[#This Row],[PROXIMO INGRESO ESTIMADO]]&gt;0,"SI","NO")</f>
        <v>NO</v>
      </c>
      <c r="C123">
        <v>1</v>
      </c>
      <c r="D123" t="s">
        <v>30</v>
      </c>
      <c r="E123" t="s">
        <v>142</v>
      </c>
      <c r="F123" t="str">
        <f>+VLOOKUP(SITUACION_COMPLETO[[#This Row],[CODIGO]],[1]Sheet1!$A:$C,3,0)</f>
        <v>CICLISMO</v>
      </c>
      <c r="G123" s="8">
        <f>IF(SITUACION_COMPLETO[[#This Row],[DISPONIBLE GRAL]]&lt;5,"QUIEBRE",IFERROR(MAX(ROUND(SITUACION_COMPLETO[[#This Row],[DISPONIBLE GRAL]]/SITUACION_COMPLETO[[#This Row],[INDICE DIGITAL]],0),0),"SIN VENTA"))</f>
        <v>38</v>
      </c>
      <c r="H123" t="s">
        <v>280</v>
      </c>
      <c r="I123" t="str">
        <f>+VLOOKUP(SITUACION_COMPLETO[[#This Row],[CODIGO]],[1]Sheet1!$A:$D,4,0)</f>
        <v>COMPRESORES</v>
      </c>
      <c r="J123" t="s">
        <v>29</v>
      </c>
      <c r="K123">
        <v>0</v>
      </c>
      <c r="L123">
        <v>38</v>
      </c>
      <c r="M123" s="8">
        <v>12</v>
      </c>
      <c r="N123">
        <v>39</v>
      </c>
      <c r="O123">
        <v>26</v>
      </c>
      <c r="P123">
        <v>13</v>
      </c>
      <c r="Q123" s="8">
        <v>588</v>
      </c>
      <c r="R123" s="12"/>
      <c r="S123" s="8"/>
    </row>
    <row r="124" spans="1:19" x14ac:dyDescent="0.3">
      <c r="A124" t="s">
        <v>402</v>
      </c>
      <c r="B124" t="str">
        <f>IF(SITUACION_COMPLETO[[#This Row],[PROXIMO INGRESO ESTIMADO]]&gt;0,"SI","NO")</f>
        <v>NO</v>
      </c>
      <c r="C124">
        <v>1</v>
      </c>
      <c r="D124" t="s">
        <v>43</v>
      </c>
      <c r="E124" t="s">
        <v>154</v>
      </c>
      <c r="F124" t="str">
        <f>+VLOOKUP(SITUACION_COMPLETO[[#This Row],[CODIGO]],[1]Sheet1!$A:$C,3,0)</f>
        <v>HOGAR</v>
      </c>
      <c r="G124" s="8">
        <f>IF(SITUACION_COMPLETO[[#This Row],[DISPONIBLE GRAL]]&lt;5,"QUIEBRE",IFERROR(MAX(ROUND(SITUACION_COMPLETO[[#This Row],[DISPONIBLE GRAL]]/SITUACION_COMPLETO[[#This Row],[INDICE DIGITAL]],0),0),"SIN VENTA"))</f>
        <v>17</v>
      </c>
      <c r="H124" t="s">
        <v>281</v>
      </c>
      <c r="I124" t="str">
        <f>+VLOOKUP(SITUACION_COMPLETO[[#This Row],[CODIGO]],[1]Sheet1!$A:$D,4,0)</f>
        <v>ASPIRADORAS</v>
      </c>
      <c r="J124" t="s">
        <v>6</v>
      </c>
      <c r="K124">
        <v>0</v>
      </c>
      <c r="L124">
        <v>17</v>
      </c>
      <c r="M124" s="8">
        <v>3</v>
      </c>
      <c r="N124">
        <v>17</v>
      </c>
      <c r="O124">
        <v>14</v>
      </c>
      <c r="P124">
        <v>3</v>
      </c>
      <c r="Q124" s="8">
        <v>0</v>
      </c>
      <c r="R124" s="12"/>
      <c r="S124" s="8"/>
    </row>
    <row r="125" spans="1:19" x14ac:dyDescent="0.3">
      <c r="A125" t="s">
        <v>375</v>
      </c>
      <c r="B125" t="str">
        <f>IF(SITUACION_COMPLETO[[#This Row],[PROXIMO INGRESO ESTIMADO]]&gt;0,"SI","NO")</f>
        <v>NO</v>
      </c>
      <c r="C125">
        <v>1</v>
      </c>
      <c r="D125" t="s">
        <v>107</v>
      </c>
      <c r="E125" t="s">
        <v>218</v>
      </c>
      <c r="F125" t="str">
        <f>+VLOOKUP(SITUACION_COMPLETO[[#This Row],[CODIGO]],[1]Sheet1!$A:$C,3,0)</f>
        <v>BIENESTAR</v>
      </c>
      <c r="G125" s="8">
        <f>IF(SITUACION_COMPLETO[[#This Row],[DISPONIBLE GRAL]]&lt;5,"QUIEBRE",IFERROR(MAX(ROUND(SITUACION_COMPLETO[[#This Row],[DISPONIBLE GRAL]]/SITUACION_COMPLETO[[#This Row],[INDICE DIGITAL]],0),0),"SIN VENTA"))</f>
        <v>483</v>
      </c>
      <c r="H125" t="s">
        <v>281</v>
      </c>
      <c r="I125" t="str">
        <f>+VLOOKUP(SITUACION_COMPLETO[[#This Row],[CODIGO]],[1]Sheet1!$A:$D,4,0)</f>
        <v>MASAJEADORES</v>
      </c>
      <c r="J125" t="s">
        <v>6</v>
      </c>
      <c r="K125">
        <v>0</v>
      </c>
      <c r="L125">
        <v>483</v>
      </c>
      <c r="M125" s="8">
        <v>5</v>
      </c>
      <c r="N125">
        <v>485</v>
      </c>
      <c r="O125">
        <v>480</v>
      </c>
      <c r="P125">
        <v>5</v>
      </c>
      <c r="Q125" s="8">
        <v>0</v>
      </c>
      <c r="R125" s="12"/>
      <c r="S125" s="8"/>
    </row>
    <row r="126" spans="1:19" x14ac:dyDescent="0.3">
      <c r="A126" t="s">
        <v>409</v>
      </c>
      <c r="B126" t="str">
        <f>IF(SITUACION_COMPLETO[[#This Row],[PROXIMO INGRESO ESTIMADO]]&gt;0,"SI","NO")</f>
        <v>NO</v>
      </c>
      <c r="C126">
        <v>1.1000000000000001</v>
      </c>
      <c r="D126" t="s">
        <v>97</v>
      </c>
      <c r="E126" t="s">
        <v>208</v>
      </c>
      <c r="F126" t="str">
        <f>+VLOOKUP(SITUACION_COMPLETO[[#This Row],[CODIGO]],[1]Sheet1!$A:$C,3,0)</f>
        <v>PEQUEÑOS ELECTRO</v>
      </c>
      <c r="G126" s="8">
        <f>IF(SITUACION_COMPLETO[[#This Row],[DISPONIBLE GRAL]]&lt;5,"QUIEBRE",IFERROR(MAX(ROUND(SITUACION_COMPLETO[[#This Row],[DISPONIBLE GRAL]]/SITUACION_COMPLETO[[#This Row],[INDICE DIGITAL]],0),0),"SIN VENTA"))</f>
        <v>301</v>
      </c>
      <c r="H126" t="s">
        <v>280</v>
      </c>
      <c r="I126" t="str">
        <f>+VLOOKUP(SITUACION_COMPLETO[[#This Row],[CODIGO]],[1]Sheet1!$A:$D,4,0)</f>
        <v>LICUADORAS</v>
      </c>
      <c r="J126" t="s">
        <v>6</v>
      </c>
      <c r="K126">
        <v>0</v>
      </c>
      <c r="L126">
        <v>331</v>
      </c>
      <c r="M126" s="8">
        <v>46</v>
      </c>
      <c r="N126">
        <v>334</v>
      </c>
      <c r="O126">
        <v>285</v>
      </c>
      <c r="P126">
        <v>49</v>
      </c>
      <c r="Q126" s="8">
        <v>0</v>
      </c>
      <c r="R126" s="12"/>
      <c r="S126" s="8"/>
    </row>
    <row r="127" spans="1:19" x14ac:dyDescent="0.3">
      <c r="A127" t="s">
        <v>394</v>
      </c>
      <c r="B127" t="str">
        <f>IF(SITUACION_COMPLETO[[#This Row],[PROXIMO INGRESO ESTIMADO]]&gt;0,"SI","NO")</f>
        <v>NO</v>
      </c>
      <c r="C127">
        <v>1.1000000000000001</v>
      </c>
      <c r="D127" t="s">
        <v>127</v>
      </c>
      <c r="E127" t="s">
        <v>242</v>
      </c>
      <c r="F127" t="str">
        <f>+VLOOKUP(SITUACION_COMPLETO[[#This Row],[CODIGO]],[1]Sheet1!$A:$C,3,0)</f>
        <v>ILUMINACION</v>
      </c>
      <c r="G127" s="8">
        <f>IF(SITUACION_COMPLETO[[#This Row],[DISPONIBLE GRAL]]&lt;5,"QUIEBRE",IFERROR(MAX(ROUND(SITUACION_COMPLETO[[#This Row],[DISPONIBLE GRAL]]/SITUACION_COMPLETO[[#This Row],[INDICE DIGITAL]],0),0),"SIN VENTA"))</f>
        <v>1192</v>
      </c>
      <c r="H127" t="s">
        <v>281</v>
      </c>
      <c r="I127" t="str">
        <f>+VLOOKUP(SITUACION_COMPLETO[[#This Row],[CODIGO]],[1]Sheet1!$A:$D,4,0)</f>
        <v>PANELES LED</v>
      </c>
      <c r="J127" t="s">
        <v>39</v>
      </c>
      <c r="K127">
        <v>0</v>
      </c>
      <c r="L127">
        <v>1311</v>
      </c>
      <c r="M127" s="8">
        <v>44</v>
      </c>
      <c r="N127">
        <v>1311</v>
      </c>
      <c r="O127">
        <v>1267</v>
      </c>
      <c r="P127">
        <v>44</v>
      </c>
      <c r="Q127" s="8">
        <v>3000</v>
      </c>
      <c r="R127" s="12"/>
      <c r="S127" s="8"/>
    </row>
    <row r="128" spans="1:19" x14ac:dyDescent="0.3">
      <c r="A128" t="s">
        <v>303</v>
      </c>
      <c r="B128" t="str">
        <f>IF(SITUACION_COMPLETO[[#This Row],[PROXIMO INGRESO ESTIMADO]]&gt;0,"SI","NO")</f>
        <v>NO</v>
      </c>
      <c r="C128">
        <v>1.2</v>
      </c>
      <c r="D128" t="s">
        <v>31</v>
      </c>
      <c r="E128" t="s">
        <v>143</v>
      </c>
      <c r="F128" t="str">
        <f>+VLOOKUP(SITUACION_COMPLETO[[#This Row],[CODIGO]],[1]Sheet1!$A:$C,3,0)</f>
        <v>HERRAMIENTAS</v>
      </c>
      <c r="G128" s="8">
        <f>IF(SITUACION_COMPLETO[[#This Row],[DISPONIBLE GRAL]]&lt;5,"QUIEBRE",IFERROR(MAX(ROUND(SITUACION_COMPLETO[[#This Row],[DISPONIBLE GRAL]]/SITUACION_COMPLETO[[#This Row],[INDICE DIGITAL]],0),0),"SIN VENTA"))</f>
        <v>322</v>
      </c>
      <c r="H128" t="s">
        <v>280</v>
      </c>
      <c r="I128" t="str">
        <f>+VLOOKUP(SITUACION_COMPLETO[[#This Row],[CODIGO]],[1]Sheet1!$A:$D,4,0)</f>
        <v>CORTE</v>
      </c>
      <c r="J128" t="s">
        <v>6</v>
      </c>
      <c r="K128">
        <v>0</v>
      </c>
      <c r="L128">
        <v>386</v>
      </c>
      <c r="M128" s="8">
        <v>58</v>
      </c>
      <c r="N128">
        <v>388</v>
      </c>
      <c r="O128">
        <v>328</v>
      </c>
      <c r="P128">
        <v>60</v>
      </c>
      <c r="Q128" s="8">
        <v>500</v>
      </c>
      <c r="R128" s="12"/>
      <c r="S128" s="8"/>
    </row>
    <row r="129" spans="1:19" x14ac:dyDescent="0.3">
      <c r="A129" t="s">
        <v>314</v>
      </c>
      <c r="B129" t="str">
        <f>IF(SITUACION_COMPLETO[[#This Row],[PROXIMO INGRESO ESTIMADO]]&gt;0,"SI","NO")</f>
        <v>NO</v>
      </c>
      <c r="C129">
        <v>1.2</v>
      </c>
      <c r="D129" t="s">
        <v>255</v>
      </c>
      <c r="E129" t="s">
        <v>257</v>
      </c>
      <c r="F129" t="str">
        <f>+VLOOKUP(SITUACION_COMPLETO[[#This Row],[CODIGO]],[1]Sheet1!$A:$C,3,0)</f>
        <v>HOGAR</v>
      </c>
      <c r="G129" s="8">
        <f>IF(SITUACION_COMPLETO[[#This Row],[DISPONIBLE GRAL]]&lt;5,"QUIEBRE",IFERROR(MAX(ROUND(SITUACION_COMPLETO[[#This Row],[DISPONIBLE GRAL]]/SITUACION_COMPLETO[[#This Row],[INDICE DIGITAL]],0),0),"SIN VENTA"))</f>
        <v>139</v>
      </c>
      <c r="H129" t="s">
        <v>280</v>
      </c>
      <c r="I129" t="str">
        <f>+VLOOKUP(SITUACION_COMPLETO[[#This Row],[CODIGO]],[1]Sheet1!$A:$D,4,0)</f>
        <v>ASPIRADORAS</v>
      </c>
      <c r="J129" t="s">
        <v>6</v>
      </c>
      <c r="K129">
        <v>1</v>
      </c>
      <c r="L129">
        <v>167</v>
      </c>
      <c r="M129" s="8">
        <v>110</v>
      </c>
      <c r="N129">
        <v>173</v>
      </c>
      <c r="O129">
        <v>58</v>
      </c>
      <c r="P129">
        <v>115</v>
      </c>
      <c r="Q129" s="8">
        <v>1000</v>
      </c>
      <c r="R129" s="12"/>
      <c r="S129" s="8"/>
    </row>
    <row r="130" spans="1:19" x14ac:dyDescent="0.3">
      <c r="A130" t="s">
        <v>406</v>
      </c>
      <c r="B130" t="str">
        <f>IF(SITUACION_COMPLETO[[#This Row],[PROXIMO INGRESO ESTIMADO]]&gt;0,"SI","NO")</f>
        <v>NO</v>
      </c>
      <c r="C130">
        <v>1.2</v>
      </c>
      <c r="D130" t="s">
        <v>45</v>
      </c>
      <c r="E130" t="s">
        <v>156</v>
      </c>
      <c r="F130" t="str">
        <f>+VLOOKUP(SITUACION_COMPLETO[[#This Row],[CODIGO]],[1]Sheet1!$A:$C,3,0)</f>
        <v>AUDIO</v>
      </c>
      <c r="G130" s="8">
        <f>IF(SITUACION_COMPLETO[[#This Row],[DISPONIBLE GRAL]]&lt;5,"QUIEBRE",IFERROR(MAX(ROUND(SITUACION_COMPLETO[[#This Row],[DISPONIBLE GRAL]]/SITUACION_COMPLETO[[#This Row],[INDICE DIGITAL]],0),0),"SIN VENTA"))</f>
        <v>348</v>
      </c>
      <c r="H130" t="s">
        <v>281</v>
      </c>
      <c r="I130" t="str">
        <f>+VLOOKUP(SITUACION_COMPLETO[[#This Row],[CODIGO]],[1]Sheet1!$A:$D,4,0)</f>
        <v>AURICULARES</v>
      </c>
      <c r="J130" t="s">
        <v>6</v>
      </c>
      <c r="K130">
        <v>0</v>
      </c>
      <c r="L130">
        <v>418</v>
      </c>
      <c r="M130" s="8">
        <v>88</v>
      </c>
      <c r="N130">
        <v>426</v>
      </c>
      <c r="O130">
        <v>331</v>
      </c>
      <c r="P130">
        <v>95</v>
      </c>
      <c r="Q130" s="8">
        <v>1000</v>
      </c>
      <c r="R130" s="12"/>
      <c r="S130" s="8"/>
    </row>
    <row r="131" spans="1:19" x14ac:dyDescent="0.3">
      <c r="A131" t="s">
        <v>327</v>
      </c>
      <c r="B131" t="str">
        <f>IF(SITUACION_COMPLETO[[#This Row],[PROXIMO INGRESO ESTIMADO]]&gt;0,"SI","NO")</f>
        <v>NO</v>
      </c>
      <c r="C131">
        <v>1.2</v>
      </c>
      <c r="D131" t="s">
        <v>64</v>
      </c>
      <c r="E131" t="s">
        <v>270</v>
      </c>
      <c r="F131" t="str">
        <f>+VLOOKUP(SITUACION_COMPLETO[[#This Row],[CODIGO]],[1]Sheet1!$A:$C,3,0)</f>
        <v>HOGAR</v>
      </c>
      <c r="G131" s="8">
        <f>IF(SITUACION_COMPLETO[[#This Row],[DISPONIBLE GRAL]]&lt;5,"QUIEBRE",IFERROR(MAX(ROUND(SITUACION_COMPLETO[[#This Row],[DISPONIBLE GRAL]]/SITUACION_COMPLETO[[#This Row],[INDICE DIGITAL]],0),0),"SIN VENTA"))</f>
        <v>792</v>
      </c>
      <c r="H131" t="s">
        <v>281</v>
      </c>
      <c r="I131" t="str">
        <f>+VLOOKUP(SITUACION_COMPLETO[[#This Row],[CODIGO]],[1]Sheet1!$A:$D,4,0)</f>
        <v>MAQUINA DE COSER</v>
      </c>
      <c r="J131" t="s">
        <v>6</v>
      </c>
      <c r="K131">
        <v>0</v>
      </c>
      <c r="L131">
        <v>950</v>
      </c>
      <c r="M131" s="8">
        <v>8</v>
      </c>
      <c r="N131">
        <v>955</v>
      </c>
      <c r="O131">
        <v>944</v>
      </c>
      <c r="P131">
        <v>11</v>
      </c>
      <c r="Q131" s="8">
        <v>0</v>
      </c>
      <c r="R131" s="12"/>
      <c r="S131" s="8"/>
    </row>
    <row r="132" spans="1:19" x14ac:dyDescent="0.3">
      <c r="A132" t="s">
        <v>333</v>
      </c>
      <c r="B132" t="str">
        <f>IF(SITUACION_COMPLETO[[#This Row],[PROXIMO INGRESO ESTIMADO]]&gt;0,"SI","NO")</f>
        <v>NO</v>
      </c>
      <c r="C132">
        <v>1.2</v>
      </c>
      <c r="D132" t="s">
        <v>70</v>
      </c>
      <c r="E132" t="s">
        <v>182</v>
      </c>
      <c r="F132" t="str">
        <f>+VLOOKUP(SITUACION_COMPLETO[[#This Row],[CODIGO]],[1]Sheet1!$A:$C,3,0)</f>
        <v>BIENESTAR</v>
      </c>
      <c r="G132" s="8">
        <f>IF(SITUACION_COMPLETO[[#This Row],[DISPONIBLE GRAL]]&lt;5,"QUIEBRE",IFERROR(MAX(ROUND(SITUACION_COMPLETO[[#This Row],[DISPONIBLE GRAL]]/SITUACION_COMPLETO[[#This Row],[INDICE DIGITAL]],0),0),"SIN VENTA"))</f>
        <v>710</v>
      </c>
      <c r="H132" t="s">
        <v>280</v>
      </c>
      <c r="I132" t="str">
        <f>+VLOOKUP(SITUACION_COMPLETO[[#This Row],[CODIGO]],[1]Sheet1!$A:$D,4,0)</f>
        <v>MASAJEADORES</v>
      </c>
      <c r="J132" t="s">
        <v>6</v>
      </c>
      <c r="K132">
        <v>1</v>
      </c>
      <c r="L132">
        <v>852</v>
      </c>
      <c r="M132" s="8">
        <v>29</v>
      </c>
      <c r="N132">
        <v>857</v>
      </c>
      <c r="O132">
        <v>823</v>
      </c>
      <c r="P132">
        <v>34</v>
      </c>
      <c r="Q132" s="8">
        <v>0</v>
      </c>
      <c r="R132" s="12"/>
      <c r="S132" s="8"/>
    </row>
    <row r="133" spans="1:19" x14ac:dyDescent="0.3">
      <c r="A133" t="s">
        <v>396</v>
      </c>
      <c r="B133" t="str">
        <f>IF(SITUACION_COMPLETO[[#This Row],[PROXIMO INGRESO ESTIMADO]]&gt;0,"SI","NO")</f>
        <v>NO</v>
      </c>
      <c r="C133">
        <v>1.2</v>
      </c>
      <c r="D133" t="s">
        <v>123</v>
      </c>
      <c r="E133" t="s">
        <v>238</v>
      </c>
      <c r="F133" t="str">
        <f>+VLOOKUP(SITUACION_COMPLETO[[#This Row],[CODIGO]],[1]Sheet1!$A:$C,3,0)</f>
        <v>ACCESORIOS</v>
      </c>
      <c r="G133" s="8">
        <f>IF(SITUACION_COMPLETO[[#This Row],[DISPONIBLE GRAL]]&lt;5,"QUIEBRE",IFERROR(MAX(ROUND(SITUACION_COMPLETO[[#This Row],[DISPONIBLE GRAL]]/SITUACION_COMPLETO[[#This Row],[INDICE DIGITAL]],0),0),"SIN VENTA"))</f>
        <v>736</v>
      </c>
      <c r="H133" t="s">
        <v>280</v>
      </c>
      <c r="I133" t="str">
        <f>+VLOOKUP(SITUACION_COMPLETO[[#This Row],[CODIGO]],[1]Sheet1!$A:$D,4,0)</f>
        <v>SOPORTES</v>
      </c>
      <c r="J133" t="s">
        <v>6</v>
      </c>
      <c r="K133">
        <v>1</v>
      </c>
      <c r="L133">
        <v>883</v>
      </c>
      <c r="M133" s="8">
        <v>44</v>
      </c>
      <c r="N133">
        <v>886</v>
      </c>
      <c r="O133">
        <v>839</v>
      </c>
      <c r="P133">
        <v>47</v>
      </c>
      <c r="Q133" s="8">
        <v>0</v>
      </c>
      <c r="R133" s="12"/>
      <c r="S133" s="8"/>
    </row>
    <row r="134" spans="1:19" x14ac:dyDescent="0.3">
      <c r="A134" t="s">
        <v>379</v>
      </c>
      <c r="B134" t="str">
        <f>IF(SITUACION_COMPLETO[[#This Row],[PROXIMO INGRESO ESTIMADO]]&gt;0,"SI","NO")</f>
        <v>NO</v>
      </c>
      <c r="C134">
        <v>1.3</v>
      </c>
      <c r="D134" t="s">
        <v>111</v>
      </c>
      <c r="E134" t="s">
        <v>224</v>
      </c>
      <c r="F134" t="str">
        <f>+VLOOKUP(SITUACION_COMPLETO[[#This Row],[CODIGO]],[1]Sheet1!$A:$C,3,0)</f>
        <v>AUDIO</v>
      </c>
      <c r="G134" s="8">
        <f>IF(SITUACION_COMPLETO[[#This Row],[DISPONIBLE GRAL]]&lt;5,"QUIEBRE",IFERROR(MAX(ROUND(SITUACION_COMPLETO[[#This Row],[DISPONIBLE GRAL]]/SITUACION_COMPLETO[[#This Row],[INDICE DIGITAL]],0),0),"SIN VENTA"))</f>
        <v>430</v>
      </c>
      <c r="H134" t="s">
        <v>280</v>
      </c>
      <c r="I134" t="str">
        <f>+VLOOKUP(SITUACION_COMPLETO[[#This Row],[CODIGO]],[1]Sheet1!$A:$D,4,0)</f>
        <v>PARLANTES PORTATILES</v>
      </c>
      <c r="J134" t="s">
        <v>6</v>
      </c>
      <c r="K134">
        <v>0</v>
      </c>
      <c r="L134">
        <v>559</v>
      </c>
      <c r="M134" s="8">
        <v>1</v>
      </c>
      <c r="N134">
        <v>569</v>
      </c>
      <c r="O134">
        <v>562</v>
      </c>
      <c r="P134">
        <v>7</v>
      </c>
      <c r="Q134" s="8">
        <v>0</v>
      </c>
      <c r="R134" s="12"/>
      <c r="S134" s="8"/>
    </row>
    <row r="135" spans="1:19" x14ac:dyDescent="0.3">
      <c r="A135" t="s">
        <v>424</v>
      </c>
      <c r="B135" t="str">
        <f>IF(SITUACION_COMPLETO[[#This Row],[PROXIMO INGRESO ESTIMADO]]&gt;0,"SI","NO")</f>
        <v>NO</v>
      </c>
      <c r="C135">
        <v>1.3</v>
      </c>
      <c r="D135" t="s">
        <v>278</v>
      </c>
      <c r="E135" t="s">
        <v>284</v>
      </c>
      <c r="F135" t="str">
        <f>+VLOOKUP(SITUACION_COMPLETO[[#This Row],[CODIGO]],[1]Sheet1!$A:$C,3,0)</f>
        <v>UTILES</v>
      </c>
      <c r="G135" s="8">
        <f>IF(SITUACION_COMPLETO[[#This Row],[DISPONIBLE GRAL]]&lt;5,"QUIEBRE",IFERROR(MAX(ROUND(SITUACION_COMPLETO[[#This Row],[DISPONIBLE GRAL]]/SITUACION_COMPLETO[[#This Row],[INDICE DIGITAL]],0),0),"SIN VENTA"))</f>
        <v>642</v>
      </c>
      <c r="H135" t="s">
        <v>280</v>
      </c>
      <c r="I135" t="str">
        <f>+VLOOKUP(SITUACION_COMPLETO[[#This Row],[CODIGO]],[1]Sheet1!$A:$D,4,0)</f>
        <v>SET ARTE</v>
      </c>
      <c r="J135" t="s">
        <v>13</v>
      </c>
      <c r="K135">
        <v>0</v>
      </c>
      <c r="L135">
        <v>834</v>
      </c>
      <c r="M135" s="8">
        <v>36</v>
      </c>
      <c r="N135">
        <v>847</v>
      </c>
      <c r="O135">
        <v>805</v>
      </c>
      <c r="P135">
        <v>42</v>
      </c>
      <c r="Q135" s="8">
        <v>0</v>
      </c>
      <c r="R135" s="12"/>
      <c r="S135" s="8"/>
    </row>
    <row r="136" spans="1:19" x14ac:dyDescent="0.3">
      <c r="A136" t="s">
        <v>457</v>
      </c>
      <c r="B136" t="str">
        <f>IF(SITUACION_COMPLETO[[#This Row],[PROXIMO INGRESO ESTIMADO]]&gt;0,"SI","NO")</f>
        <v>NO</v>
      </c>
      <c r="C136">
        <v>1.4</v>
      </c>
      <c r="D136" t="s">
        <v>449</v>
      </c>
      <c r="E136" t="s">
        <v>145</v>
      </c>
      <c r="F136" t="str">
        <f>+VLOOKUP(SITUACION_COMPLETO[[#This Row],[CODIGO]],[1]Sheet1!$A:$C,3,0)</f>
        <v>PET</v>
      </c>
      <c r="G136" s="8">
        <f>IF(SITUACION_COMPLETO[[#This Row],[DISPONIBLE GRAL]]&lt;5,"QUIEBRE",IFERROR(MAX(ROUND(SITUACION_COMPLETO[[#This Row],[DISPONIBLE GRAL]]/SITUACION_COMPLETO[[#This Row],[INDICE DIGITAL]],0),0),"SIN VENTA"))</f>
        <v>301</v>
      </c>
      <c r="H136" t="s">
        <v>280</v>
      </c>
      <c r="I136" t="str">
        <f>+VLOOKUP(SITUACION_COMPLETO[[#This Row],[CODIGO]],[1]Sheet1!$A:$D,4,0)</f>
        <v>ASPIRADORAS</v>
      </c>
      <c r="J136" t="s">
        <v>6</v>
      </c>
      <c r="K136">
        <v>1</v>
      </c>
      <c r="L136">
        <v>421</v>
      </c>
      <c r="M136" s="8">
        <v>16</v>
      </c>
      <c r="N136">
        <v>423</v>
      </c>
      <c r="O136">
        <v>405</v>
      </c>
      <c r="P136">
        <v>18</v>
      </c>
      <c r="Q136" s="8">
        <v>0</v>
      </c>
      <c r="R136" s="12"/>
      <c r="S136" s="8"/>
    </row>
    <row r="137" spans="1:19" x14ac:dyDescent="0.3">
      <c r="A137" t="s">
        <v>336</v>
      </c>
      <c r="B137" t="str">
        <f>IF(SITUACION_COMPLETO[[#This Row],[PROXIMO INGRESO ESTIMADO]]&gt;0,"SI","NO")</f>
        <v>NO</v>
      </c>
      <c r="C137">
        <v>1.4</v>
      </c>
      <c r="D137" t="s">
        <v>65</v>
      </c>
      <c r="E137" t="s">
        <v>177</v>
      </c>
      <c r="F137" t="str">
        <f>+VLOOKUP(SITUACION_COMPLETO[[#This Row],[CODIGO]],[1]Sheet1!$A:$C,3,0)</f>
        <v>ILUMINACION</v>
      </c>
      <c r="G137" s="8">
        <f>IF(SITUACION_COMPLETO[[#This Row],[DISPONIBLE GRAL]]&lt;5,"QUIEBRE",IFERROR(MAX(ROUND(SITUACION_COMPLETO[[#This Row],[DISPONIBLE GRAL]]/SITUACION_COMPLETO[[#This Row],[INDICE DIGITAL]],0),0),"SIN VENTA"))</f>
        <v>373</v>
      </c>
      <c r="H137" t="s">
        <v>281</v>
      </c>
      <c r="I137" t="str">
        <f>+VLOOKUP(SITUACION_COMPLETO[[#This Row],[CODIGO]],[1]Sheet1!$A:$D,4,0)</f>
        <v>DRIVERS</v>
      </c>
      <c r="J137" t="s">
        <v>39</v>
      </c>
      <c r="K137">
        <v>0</v>
      </c>
      <c r="L137">
        <v>522</v>
      </c>
      <c r="M137" s="8">
        <v>7</v>
      </c>
      <c r="N137">
        <v>532</v>
      </c>
      <c r="O137">
        <v>521</v>
      </c>
      <c r="P137">
        <v>11</v>
      </c>
      <c r="Q137" s="8">
        <v>1000</v>
      </c>
      <c r="R137" s="12"/>
      <c r="S137" s="8"/>
    </row>
    <row r="138" spans="1:19" x14ac:dyDescent="0.3">
      <c r="A138" t="s">
        <v>407</v>
      </c>
      <c r="B138" t="str">
        <f>IF(SITUACION_COMPLETO[[#This Row],[PROXIMO INGRESO ESTIMADO]]&gt;0,"SI","NO")</f>
        <v>NO</v>
      </c>
      <c r="C138">
        <v>1.4</v>
      </c>
      <c r="D138" t="s">
        <v>95</v>
      </c>
      <c r="E138" t="s">
        <v>206</v>
      </c>
      <c r="F138" t="str">
        <f>+VLOOKUP(SITUACION_COMPLETO[[#This Row],[CODIGO]],[1]Sheet1!$A:$C,3,0)</f>
        <v>PEQUEÑOS ELECTRO</v>
      </c>
      <c r="G138" s="8">
        <f>IF(SITUACION_COMPLETO[[#This Row],[DISPONIBLE GRAL]]&lt;5,"QUIEBRE",IFERROR(MAX(ROUND(SITUACION_COMPLETO[[#This Row],[DISPONIBLE GRAL]]/SITUACION_COMPLETO[[#This Row],[INDICE DIGITAL]],0),0),"SIN VENTA"))</f>
        <v>76</v>
      </c>
      <c r="H138" t="s">
        <v>280</v>
      </c>
      <c r="I138" t="str">
        <f>+VLOOKUP(SITUACION_COMPLETO[[#This Row],[CODIGO]],[1]Sheet1!$A:$D,4,0)</f>
        <v>LICUADORAS</v>
      </c>
      <c r="J138" t="s">
        <v>6</v>
      </c>
      <c r="K138">
        <v>0</v>
      </c>
      <c r="L138">
        <v>107</v>
      </c>
      <c r="M138" s="8">
        <v>36</v>
      </c>
      <c r="N138">
        <v>121</v>
      </c>
      <c r="O138">
        <v>71</v>
      </c>
      <c r="P138">
        <v>50</v>
      </c>
      <c r="Q138" s="8">
        <v>0</v>
      </c>
      <c r="R138" s="12"/>
      <c r="S138" s="8"/>
    </row>
    <row r="139" spans="1:19" x14ac:dyDescent="0.3">
      <c r="A139" t="s">
        <v>371</v>
      </c>
      <c r="B139" t="str">
        <f>IF(SITUACION_COMPLETO[[#This Row],[PROXIMO INGRESO ESTIMADO]]&gt;0,"SI","NO")</f>
        <v>NO</v>
      </c>
      <c r="C139">
        <v>1.4</v>
      </c>
      <c r="D139" t="s">
        <v>62</v>
      </c>
      <c r="E139" t="s">
        <v>175</v>
      </c>
      <c r="F139" t="str">
        <f>+VLOOKUP(SITUACION_COMPLETO[[#This Row],[CODIGO]],[1]Sheet1!$A:$C,3,0)</f>
        <v>CICLISMO</v>
      </c>
      <c r="G139" s="8">
        <f>IF(SITUACION_COMPLETO[[#This Row],[DISPONIBLE GRAL]]&lt;5,"QUIEBRE",IFERROR(MAX(ROUND(SITUACION_COMPLETO[[#This Row],[DISPONIBLE GRAL]]/SITUACION_COMPLETO[[#This Row],[INDICE DIGITAL]],0),0),"SIN VENTA"))</f>
        <v>55</v>
      </c>
      <c r="H139" t="s">
        <v>281</v>
      </c>
      <c r="I139" t="str">
        <f>+VLOOKUP(SITUACION_COMPLETO[[#This Row],[CODIGO]],[1]Sheet1!$A:$D,4,0)</f>
        <v>CICLOCOMPUTADORA</v>
      </c>
      <c r="J139" t="s">
        <v>29</v>
      </c>
      <c r="K139">
        <v>4</v>
      </c>
      <c r="L139">
        <v>77</v>
      </c>
      <c r="M139" s="8">
        <v>-3</v>
      </c>
      <c r="N139">
        <v>84</v>
      </c>
      <c r="O139">
        <v>83</v>
      </c>
      <c r="P139">
        <v>1</v>
      </c>
      <c r="Q139" s="8">
        <v>0</v>
      </c>
      <c r="R139" s="12"/>
      <c r="S139" s="8"/>
    </row>
    <row r="140" spans="1:19" x14ac:dyDescent="0.3">
      <c r="A140" t="s">
        <v>414</v>
      </c>
      <c r="B140" t="str">
        <f>IF(SITUACION_COMPLETO[[#This Row],[PROXIMO INGRESO ESTIMADO]]&gt;0,"SI","NO")</f>
        <v>NO</v>
      </c>
      <c r="C140">
        <v>1.5</v>
      </c>
      <c r="D140" t="s">
        <v>84</v>
      </c>
      <c r="E140" t="s">
        <v>415</v>
      </c>
      <c r="F140" t="str">
        <f>+VLOOKUP(SITUACION_COMPLETO[[#This Row],[CODIGO]],[1]Sheet1!$A:$C,3,0)</f>
        <v>HERRAMIENTAS</v>
      </c>
      <c r="G140" s="8">
        <f>IF(SITUACION_COMPLETO[[#This Row],[DISPONIBLE GRAL]]&lt;5,"QUIEBRE",IFERROR(MAX(ROUND(SITUACION_COMPLETO[[#This Row],[DISPONIBLE GRAL]]/SITUACION_COMPLETO[[#This Row],[INDICE DIGITAL]],0),0),"SIN VENTA"))</f>
        <v>130</v>
      </c>
      <c r="H140" t="s">
        <v>280</v>
      </c>
      <c r="I140" t="str">
        <f>+VLOOKUP(SITUACION_COMPLETO[[#This Row],[CODIGO]],[1]Sheet1!$A:$D,4,0)</f>
        <v>HIDROLAVADORAS</v>
      </c>
      <c r="J140" t="s">
        <v>6</v>
      </c>
      <c r="K140">
        <v>1</v>
      </c>
      <c r="L140">
        <v>195</v>
      </c>
      <c r="M140" s="8">
        <v>1</v>
      </c>
      <c r="N140">
        <v>201</v>
      </c>
      <c r="O140">
        <v>200</v>
      </c>
      <c r="P140">
        <v>1</v>
      </c>
      <c r="Q140" s="8">
        <v>800</v>
      </c>
      <c r="R140" s="12"/>
      <c r="S140" s="8"/>
    </row>
    <row r="141" spans="1:19" x14ac:dyDescent="0.3">
      <c r="A141" t="s">
        <v>387</v>
      </c>
      <c r="B141" t="str">
        <f>IF(SITUACION_COMPLETO[[#This Row],[PROXIMO INGRESO ESTIMADO]]&gt;0,"SI","NO")</f>
        <v>NO</v>
      </c>
      <c r="C141">
        <v>1.5</v>
      </c>
      <c r="D141" t="s">
        <v>120</v>
      </c>
      <c r="E141" t="s">
        <v>233</v>
      </c>
      <c r="F141" t="str">
        <f>+VLOOKUP(SITUACION_COMPLETO[[#This Row],[CODIGO]],[1]Sheet1!$A:$C,3,0)</f>
        <v>PEQUEÑOS ELECTRO</v>
      </c>
      <c r="G141" s="8">
        <f>IF(SITUACION_COMPLETO[[#This Row],[DISPONIBLE GRAL]]&lt;5,"QUIEBRE",IFERROR(MAX(ROUND(SITUACION_COMPLETO[[#This Row],[DISPONIBLE GRAL]]/SITUACION_COMPLETO[[#This Row],[INDICE DIGITAL]],0),0),"SIN VENTA"))</f>
        <v>751</v>
      </c>
      <c r="H141" t="s">
        <v>281</v>
      </c>
      <c r="I141" t="str">
        <f>+VLOOKUP(SITUACION_COMPLETO[[#This Row],[CODIGO]],[1]Sheet1!$A:$D,4,0)</f>
        <v>PARRILLAS</v>
      </c>
      <c r="J141" t="s">
        <v>6</v>
      </c>
      <c r="K141">
        <v>0</v>
      </c>
      <c r="L141">
        <v>1126</v>
      </c>
      <c r="M141" s="8">
        <v>-7</v>
      </c>
      <c r="N141">
        <v>1136</v>
      </c>
      <c r="O141">
        <v>1136</v>
      </c>
      <c r="P141">
        <v>0</v>
      </c>
      <c r="Q141" s="8">
        <v>0</v>
      </c>
      <c r="R141" s="12"/>
      <c r="S141" s="8"/>
    </row>
    <row r="142" spans="1:19" x14ac:dyDescent="0.3">
      <c r="A142" t="s">
        <v>398</v>
      </c>
      <c r="B142" t="str">
        <f>IF(SITUACION_COMPLETO[[#This Row],[PROXIMO INGRESO ESTIMADO]]&gt;0,"SI","NO")</f>
        <v>NO</v>
      </c>
      <c r="C142">
        <v>1.5</v>
      </c>
      <c r="D142" t="s">
        <v>124</v>
      </c>
      <c r="E142" t="s">
        <v>239</v>
      </c>
      <c r="F142" t="str">
        <f>+VLOOKUP(SITUACION_COMPLETO[[#This Row],[CODIGO]],[1]Sheet1!$A:$C,3,0)</f>
        <v>PEQUEÑOS ELECTRO</v>
      </c>
      <c r="G142" s="8">
        <f>IF(SITUACION_COMPLETO[[#This Row],[DISPONIBLE GRAL]]&lt;5,"QUIEBRE",IFERROR(MAX(ROUND(SITUACION_COMPLETO[[#This Row],[DISPONIBLE GRAL]]/SITUACION_COMPLETO[[#This Row],[INDICE DIGITAL]],0),0),"SIN VENTA"))</f>
        <v>424</v>
      </c>
      <c r="H142" t="s">
        <v>280</v>
      </c>
      <c r="I142" t="str">
        <f>+VLOOKUP(SITUACION_COMPLETO[[#This Row],[CODIGO]],[1]Sheet1!$A:$D,4,0)</f>
        <v>SANDWICHERAS</v>
      </c>
      <c r="J142" t="s">
        <v>6</v>
      </c>
      <c r="K142">
        <v>0</v>
      </c>
      <c r="L142">
        <v>636</v>
      </c>
      <c r="M142" s="8">
        <v>86</v>
      </c>
      <c r="N142">
        <v>641</v>
      </c>
      <c r="O142">
        <v>553</v>
      </c>
      <c r="P142">
        <v>88</v>
      </c>
      <c r="Q142" s="8">
        <v>0</v>
      </c>
      <c r="R142" s="12"/>
      <c r="S142" s="8"/>
    </row>
    <row r="143" spans="1:19" x14ac:dyDescent="0.3">
      <c r="A143" t="s">
        <v>388</v>
      </c>
      <c r="B143" t="str">
        <f>IF(SITUACION_COMPLETO[[#This Row],[PROXIMO INGRESO ESTIMADO]]&gt;0,"SI","NO")</f>
        <v>NO</v>
      </c>
      <c r="C143">
        <v>1.7</v>
      </c>
      <c r="D143" t="s">
        <v>17</v>
      </c>
      <c r="E143" t="s">
        <v>217</v>
      </c>
      <c r="F143" t="str">
        <f>+VLOOKUP(SITUACION_COMPLETO[[#This Row],[CODIGO]],[1]Sheet1!$A:$C,3,0)</f>
        <v>GAMING</v>
      </c>
      <c r="G143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43" t="s">
        <v>281</v>
      </c>
      <c r="I143" t="str">
        <f>+VLOOKUP(SITUACION_COMPLETO[[#This Row],[CODIGO]],[1]Sheet1!$A:$D,4,0)</f>
        <v>SILLAS GAMER</v>
      </c>
      <c r="J143" t="s">
        <v>18</v>
      </c>
      <c r="K143">
        <v>0</v>
      </c>
      <c r="L143">
        <v>0</v>
      </c>
      <c r="M143" s="8">
        <v>0</v>
      </c>
      <c r="N143">
        <v>0</v>
      </c>
      <c r="O143">
        <v>0</v>
      </c>
      <c r="P143">
        <v>0</v>
      </c>
      <c r="Q143" s="8">
        <v>0</v>
      </c>
      <c r="R143" s="12"/>
      <c r="S143" s="8"/>
    </row>
    <row r="144" spans="1:19" x14ac:dyDescent="0.3">
      <c r="A144" t="s">
        <v>399</v>
      </c>
      <c r="B144" t="str">
        <f>IF(SITUACION_COMPLETO[[#This Row],[PROXIMO INGRESO ESTIMADO]]&gt;0,"SI","NO")</f>
        <v>NO</v>
      </c>
      <c r="C144">
        <v>1.7</v>
      </c>
      <c r="D144" t="s">
        <v>130</v>
      </c>
      <c r="E144" t="s">
        <v>245</v>
      </c>
      <c r="F144" t="str">
        <f>+VLOOKUP(SITUACION_COMPLETO[[#This Row],[CODIGO]],[1]Sheet1!$A:$C,3,0)</f>
        <v>PEQUEÑOS ELECTRO</v>
      </c>
      <c r="G144" s="8">
        <f>IF(SITUACION_COMPLETO[[#This Row],[DISPONIBLE GRAL]]&lt;5,"QUIEBRE",IFERROR(MAX(ROUND(SITUACION_COMPLETO[[#This Row],[DISPONIBLE GRAL]]/SITUACION_COMPLETO[[#This Row],[INDICE DIGITAL]],0),0),"SIN VENTA"))</f>
        <v>107</v>
      </c>
      <c r="H144" t="s">
        <v>280</v>
      </c>
      <c r="I144" t="str">
        <f>+VLOOKUP(SITUACION_COMPLETO[[#This Row],[CODIGO]],[1]Sheet1!$A:$D,4,0)</f>
        <v>TOSTADORAS</v>
      </c>
      <c r="J144" t="s">
        <v>6</v>
      </c>
      <c r="K144">
        <v>0</v>
      </c>
      <c r="L144">
        <v>182</v>
      </c>
      <c r="M144" s="8">
        <v>63</v>
      </c>
      <c r="N144">
        <v>185</v>
      </c>
      <c r="O144">
        <v>119</v>
      </c>
      <c r="P144">
        <v>66</v>
      </c>
      <c r="Q144" s="8">
        <v>0</v>
      </c>
      <c r="R144" s="12"/>
      <c r="S144" s="8"/>
    </row>
    <row r="145" spans="1:19" x14ac:dyDescent="0.3">
      <c r="A145" t="s">
        <v>338</v>
      </c>
      <c r="B145" t="str">
        <f>IF(SITUACION_COMPLETO[[#This Row],[PROXIMO INGRESO ESTIMADO]]&gt;0,"SI","NO")</f>
        <v>NO</v>
      </c>
      <c r="C145">
        <v>1.8</v>
      </c>
      <c r="D145" t="s">
        <v>50</v>
      </c>
      <c r="E145" t="s">
        <v>163</v>
      </c>
      <c r="F145" t="str">
        <f>+VLOOKUP(SITUACION_COMPLETO[[#This Row],[CODIGO]],[1]Sheet1!$A:$C,3,0)</f>
        <v>PEQUEÑOS ELECTRO</v>
      </c>
      <c r="G145" s="8">
        <f>IF(SITUACION_COMPLETO[[#This Row],[DISPONIBLE GRAL]]&lt;5,"QUIEBRE",IFERROR(MAX(ROUND(SITUACION_COMPLETO[[#This Row],[DISPONIBLE GRAL]]/SITUACION_COMPLETO[[#This Row],[INDICE DIGITAL]],0),0),"SIN VENTA"))</f>
        <v>1646</v>
      </c>
      <c r="H145" t="s">
        <v>280</v>
      </c>
      <c r="I145" t="str">
        <f>+VLOOKUP(SITUACION_COMPLETO[[#This Row],[CODIGO]],[1]Sheet1!$A:$D,4,0)</f>
        <v>EXPRIMIDORES</v>
      </c>
      <c r="J145" t="s">
        <v>6</v>
      </c>
      <c r="K145">
        <v>2</v>
      </c>
      <c r="L145">
        <v>2962</v>
      </c>
      <c r="M145" s="8">
        <v>15</v>
      </c>
      <c r="N145">
        <v>2974</v>
      </c>
      <c r="O145">
        <v>2949</v>
      </c>
      <c r="P145">
        <v>25</v>
      </c>
      <c r="Q145" s="8">
        <v>0</v>
      </c>
      <c r="R145" s="12"/>
      <c r="S145" s="8"/>
    </row>
    <row r="146" spans="1:19" x14ac:dyDescent="0.3">
      <c r="A146" t="s">
        <v>419</v>
      </c>
      <c r="B146" t="str">
        <f>IF(SITUACION_COMPLETO[[#This Row],[PROXIMO INGRESO ESTIMADO]]&gt;0,"SI","NO")</f>
        <v>NO</v>
      </c>
      <c r="C146">
        <v>1.9</v>
      </c>
      <c r="D146" t="s">
        <v>15</v>
      </c>
      <c r="E146" t="s">
        <v>165</v>
      </c>
      <c r="F146" t="str">
        <f>+VLOOKUP(SITUACION_COMPLETO[[#This Row],[CODIGO]],[1]Sheet1!$A:$C,3,0)</f>
        <v>JUGUETES</v>
      </c>
      <c r="G146" s="8">
        <f>IF(SITUACION_COMPLETO[[#This Row],[DISPONIBLE GRAL]]&lt;5,"QUIEBRE",IFERROR(MAX(ROUND(SITUACION_COMPLETO[[#This Row],[DISPONIBLE GRAL]]/SITUACION_COMPLETO[[#This Row],[INDICE DIGITAL]],0),0),"SIN VENTA"))</f>
        <v>88</v>
      </c>
      <c r="H146" t="s">
        <v>280</v>
      </c>
      <c r="I146" t="str">
        <f>+VLOOKUP(SITUACION_COMPLETO[[#This Row],[CODIGO]],[1]Sheet1!$A:$D,4,0)</f>
        <v>PISTOLAS DE BURBUJAS</v>
      </c>
      <c r="J146" t="s">
        <v>13</v>
      </c>
      <c r="K146">
        <v>1</v>
      </c>
      <c r="L146">
        <v>167</v>
      </c>
      <c r="M146" s="8">
        <v>152</v>
      </c>
      <c r="N146">
        <v>167</v>
      </c>
      <c r="O146">
        <v>15</v>
      </c>
      <c r="P146">
        <v>152</v>
      </c>
      <c r="Q146" s="8">
        <v>1008</v>
      </c>
      <c r="R146" s="12"/>
      <c r="S146" s="8"/>
    </row>
    <row r="147" spans="1:19" x14ac:dyDescent="0.3">
      <c r="A147" t="s">
        <v>309</v>
      </c>
      <c r="B147" t="str">
        <f>IF(SITUACION_COMPLETO[[#This Row],[PROXIMO INGRESO ESTIMADO]]&gt;0,"SI","NO")</f>
        <v>NO</v>
      </c>
      <c r="C147">
        <v>2.2999999999999998</v>
      </c>
      <c r="D147" t="s">
        <v>35</v>
      </c>
      <c r="E147" t="s">
        <v>148</v>
      </c>
      <c r="F147" t="str">
        <f>+VLOOKUP(SITUACION_COMPLETO[[#This Row],[CODIGO]],[1]Sheet1!$A:$C,3,0)</f>
        <v>HERRAMIENTAS</v>
      </c>
      <c r="G147" s="8">
        <f>IF(SITUACION_COMPLETO[[#This Row],[DISPONIBLE GRAL]]&lt;5,"QUIEBRE",IFERROR(MAX(ROUND(SITUACION_COMPLETO[[#This Row],[DISPONIBLE GRAL]]/SITUACION_COMPLETO[[#This Row],[INDICE DIGITAL]],0),0),"SIN VENTA"))</f>
        <v>175</v>
      </c>
      <c r="H147" t="s">
        <v>280</v>
      </c>
      <c r="I147" t="str">
        <f>+VLOOKUP(SITUACION_COMPLETO[[#This Row],[CODIGO]],[1]Sheet1!$A:$D,4,0)</f>
        <v>PERFORACION</v>
      </c>
      <c r="J147" t="s">
        <v>6</v>
      </c>
      <c r="K147">
        <v>0</v>
      </c>
      <c r="L147">
        <v>402</v>
      </c>
      <c r="M147" s="8">
        <v>7</v>
      </c>
      <c r="N147">
        <v>409</v>
      </c>
      <c r="O147">
        <v>395</v>
      </c>
      <c r="P147">
        <v>14</v>
      </c>
      <c r="Q147" s="8">
        <v>500</v>
      </c>
      <c r="R147" s="12"/>
      <c r="S147" s="8"/>
    </row>
    <row r="148" spans="1:19" x14ac:dyDescent="0.3">
      <c r="A148" t="s">
        <v>458</v>
      </c>
      <c r="B148" t="str">
        <f>IF(SITUACION_COMPLETO[[#This Row],[PROXIMO INGRESO ESTIMADO]]&gt;0,"SI","NO")</f>
        <v>NO</v>
      </c>
      <c r="C148">
        <v>2.4</v>
      </c>
      <c r="D148" t="s">
        <v>452</v>
      </c>
      <c r="E148" t="s">
        <v>178</v>
      </c>
      <c r="F148" t="str">
        <f>+VLOOKUP(SITUACION_COMPLETO[[#This Row],[CODIGO]],[1]Sheet1!$A:$C,3,0)</f>
        <v>PEQUEÑOS ELECTRO</v>
      </c>
      <c r="G148" s="8">
        <f>IF(SITUACION_COMPLETO[[#This Row],[DISPONIBLE GRAL]]&lt;5,"QUIEBRE",IFERROR(MAX(ROUND(SITUACION_COMPLETO[[#This Row],[DISPONIBLE GRAL]]/SITUACION_COMPLETO[[#This Row],[INDICE DIGITAL]],0),0),"SIN VENTA"))</f>
        <v>143</v>
      </c>
      <c r="H148" t="s">
        <v>280</v>
      </c>
      <c r="I148" t="str">
        <f>+VLOOKUP(SITUACION_COMPLETO[[#This Row],[CODIGO]],[1]Sheet1!$A:$D,4,0)</f>
        <v>EXPRIMIDORES</v>
      </c>
      <c r="J148" t="s">
        <v>6</v>
      </c>
      <c r="K148">
        <v>2</v>
      </c>
      <c r="L148">
        <v>343</v>
      </c>
      <c r="M148" s="8">
        <v>6</v>
      </c>
      <c r="N148">
        <v>350</v>
      </c>
      <c r="O148">
        <v>337</v>
      </c>
      <c r="P148">
        <v>13</v>
      </c>
      <c r="Q148" s="8">
        <v>0</v>
      </c>
      <c r="R148" s="12"/>
      <c r="S148" s="8"/>
    </row>
    <row r="149" spans="1:19" x14ac:dyDescent="0.3">
      <c r="A149" t="s">
        <v>378</v>
      </c>
      <c r="B149" t="str">
        <f>IF(SITUACION_COMPLETO[[#This Row],[PROXIMO INGRESO ESTIMADO]]&gt;0,"SI","NO")</f>
        <v>NO</v>
      </c>
      <c r="C149">
        <v>2.4</v>
      </c>
      <c r="D149" t="s">
        <v>136</v>
      </c>
      <c r="E149" t="s">
        <v>253</v>
      </c>
      <c r="F149" t="str">
        <f>+VLOOKUP(SITUACION_COMPLETO[[#This Row],[CODIGO]],[1]Sheet1!$A:$C,3,0)</f>
        <v>AUDIO</v>
      </c>
      <c r="G149" s="8">
        <f>IF(SITUACION_COMPLETO[[#This Row],[DISPONIBLE GRAL]]&lt;5,"QUIEBRE",IFERROR(MAX(ROUND(SITUACION_COMPLETO[[#This Row],[DISPONIBLE GRAL]]/SITUACION_COMPLETO[[#This Row],[INDICE DIGITAL]],0),0),"SIN VENTA"))</f>
        <v>395</v>
      </c>
      <c r="H149" t="s">
        <v>280</v>
      </c>
      <c r="I149" t="str">
        <f>+VLOOKUP(SITUACION_COMPLETO[[#This Row],[CODIGO]],[1]Sheet1!$A:$D,4,0)</f>
        <v>PARLANTES PORTATILES</v>
      </c>
      <c r="J149" t="s">
        <v>6</v>
      </c>
      <c r="K149">
        <v>0</v>
      </c>
      <c r="L149">
        <v>949</v>
      </c>
      <c r="M149" s="8">
        <v>57</v>
      </c>
      <c r="N149">
        <v>951</v>
      </c>
      <c r="O149">
        <v>892</v>
      </c>
      <c r="P149">
        <v>59</v>
      </c>
      <c r="Q149" s="8">
        <v>0</v>
      </c>
      <c r="R149" s="12"/>
      <c r="S149" s="8"/>
    </row>
    <row r="150" spans="1:19" x14ac:dyDescent="0.3">
      <c r="A150" t="s">
        <v>389</v>
      </c>
      <c r="B150" t="str">
        <f>IF(SITUACION_COMPLETO[[#This Row],[PROXIMO INGRESO ESTIMADO]]&gt;0,"SI","NO")</f>
        <v>NO</v>
      </c>
      <c r="C150">
        <v>2.4</v>
      </c>
      <c r="D150" t="s">
        <v>19</v>
      </c>
      <c r="E150" t="s">
        <v>219</v>
      </c>
      <c r="F150" t="str">
        <f>+VLOOKUP(SITUACION_COMPLETO[[#This Row],[CODIGO]],[1]Sheet1!$A:$C,3,0)</f>
        <v>GAMING</v>
      </c>
      <c r="G15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50" t="s">
        <v>281</v>
      </c>
      <c r="I150" t="str">
        <f>+VLOOKUP(SITUACION_COMPLETO[[#This Row],[CODIGO]],[1]Sheet1!$A:$D,4,0)</f>
        <v>SILLAS GAMER</v>
      </c>
      <c r="J150" t="s">
        <v>18</v>
      </c>
      <c r="K150">
        <v>0</v>
      </c>
      <c r="L150">
        <v>3</v>
      </c>
      <c r="M150" s="8">
        <v>0</v>
      </c>
      <c r="N150">
        <v>3</v>
      </c>
      <c r="O150">
        <v>3</v>
      </c>
      <c r="P150">
        <v>0</v>
      </c>
      <c r="Q150" s="8">
        <v>0</v>
      </c>
      <c r="R150" s="12"/>
      <c r="S150" s="8"/>
    </row>
    <row r="151" spans="1:19" x14ac:dyDescent="0.3">
      <c r="A151" t="s">
        <v>390</v>
      </c>
      <c r="B151" t="str">
        <f>IF(SITUACION_COMPLETO[[#This Row],[PROXIMO INGRESO ESTIMADO]]&gt;0,"SI","NO")</f>
        <v>NO</v>
      </c>
      <c r="C151">
        <v>2.4</v>
      </c>
      <c r="D151" t="s">
        <v>131</v>
      </c>
      <c r="E151" t="s">
        <v>246</v>
      </c>
      <c r="F151" t="str">
        <f>+VLOOKUP(SITUACION_COMPLETO[[#This Row],[CODIGO]],[1]Sheet1!$A:$C,3,0)</f>
        <v>PEQUEÑOS ELECTRO</v>
      </c>
      <c r="G151" s="8">
        <f>IF(SITUACION_COMPLETO[[#This Row],[DISPONIBLE GRAL]]&lt;5,"QUIEBRE",IFERROR(MAX(ROUND(SITUACION_COMPLETO[[#This Row],[DISPONIBLE GRAL]]/SITUACION_COMPLETO[[#This Row],[INDICE DIGITAL]],0),0),"SIN VENTA"))</f>
        <v>662</v>
      </c>
      <c r="H151" t="s">
        <v>280</v>
      </c>
      <c r="I151" t="str">
        <f>+VLOOKUP(SITUACION_COMPLETO[[#This Row],[CODIGO]],[1]Sheet1!$A:$D,4,0)</f>
        <v>TOSTADORAS</v>
      </c>
      <c r="J151" t="s">
        <v>6</v>
      </c>
      <c r="K151">
        <v>0</v>
      </c>
      <c r="L151">
        <v>1589</v>
      </c>
      <c r="M151" s="8">
        <v>66</v>
      </c>
      <c r="N151">
        <v>1592</v>
      </c>
      <c r="O151">
        <v>1524</v>
      </c>
      <c r="P151">
        <v>68</v>
      </c>
      <c r="Q151" s="8">
        <v>0</v>
      </c>
      <c r="R151" s="12"/>
      <c r="S151" s="8"/>
    </row>
    <row r="152" spans="1:19" x14ac:dyDescent="0.3">
      <c r="A152" t="s">
        <v>447</v>
      </c>
      <c r="B152" t="str">
        <f>IF(SITUACION_COMPLETO[[#This Row],[PROXIMO INGRESO ESTIMADO]]&gt;0,"SI","NO")</f>
        <v>NO</v>
      </c>
      <c r="C152">
        <v>2.4</v>
      </c>
      <c r="D152" t="s">
        <v>448</v>
      </c>
      <c r="E152" t="s">
        <v>139</v>
      </c>
      <c r="F152" t="str">
        <f>+VLOOKUP(SITUACION_COMPLETO[[#This Row],[CODIGO]],[1]Sheet1!$A:$C,3,0)</f>
        <v>PEQUEÑOS ELECTRO</v>
      </c>
      <c r="G152" s="8">
        <f>IF(SITUACION_COMPLETO[[#This Row],[DISPONIBLE GRAL]]&lt;5,"QUIEBRE",IFERROR(MAX(ROUND(SITUACION_COMPLETO[[#This Row],[DISPONIBLE GRAL]]/SITUACION_COMPLETO[[#This Row],[INDICE DIGITAL]],0),0),"SIN VENTA"))</f>
        <v>799</v>
      </c>
      <c r="H152" t="s">
        <v>280</v>
      </c>
      <c r="I152" t="s">
        <v>538</v>
      </c>
      <c r="J152" t="s">
        <v>6</v>
      </c>
      <c r="K152">
        <v>0</v>
      </c>
      <c r="L152">
        <v>1917</v>
      </c>
      <c r="M152" s="8">
        <v>108</v>
      </c>
      <c r="N152">
        <v>1927</v>
      </c>
      <c r="O152">
        <v>1812</v>
      </c>
      <c r="P152">
        <v>115</v>
      </c>
      <c r="Q152" s="8">
        <v>1200</v>
      </c>
      <c r="R152" s="12"/>
      <c r="S152" s="8"/>
    </row>
    <row r="153" spans="1:19" x14ac:dyDescent="0.3">
      <c r="A153" t="s">
        <v>418</v>
      </c>
      <c r="B153" t="str">
        <f>IF(SITUACION_COMPLETO[[#This Row],[PROXIMO INGRESO ESTIMADO]]&gt;0,"SI","NO")</f>
        <v>NO</v>
      </c>
      <c r="C153">
        <v>2.8</v>
      </c>
      <c r="D153" t="s">
        <v>16</v>
      </c>
      <c r="E153" t="s">
        <v>166</v>
      </c>
      <c r="F153" t="str">
        <f>+VLOOKUP(SITUACION_COMPLETO[[#This Row],[CODIGO]],[1]Sheet1!$A:$C,3,0)</f>
        <v>JUGUETES</v>
      </c>
      <c r="G153" s="8">
        <f>IF(SITUACION_COMPLETO[[#This Row],[DISPONIBLE GRAL]]&lt;5,"QUIEBRE",IFERROR(MAX(ROUND(SITUACION_COMPLETO[[#This Row],[DISPONIBLE GRAL]]/SITUACION_COMPLETO[[#This Row],[INDICE DIGITAL]],0),0),"SIN VENTA"))</f>
        <v>482</v>
      </c>
      <c r="H153" t="s">
        <v>280</v>
      </c>
      <c r="I153" t="str">
        <f>+VLOOKUP(SITUACION_COMPLETO[[#This Row],[CODIGO]],[1]Sheet1!$A:$D,4,0)</f>
        <v>PISTOLAS DE BURBUJAS</v>
      </c>
      <c r="J153" t="s">
        <v>13</v>
      </c>
      <c r="K153">
        <v>1</v>
      </c>
      <c r="L153">
        <v>1349</v>
      </c>
      <c r="M153" s="8">
        <v>282</v>
      </c>
      <c r="N153">
        <v>1359</v>
      </c>
      <c r="O153">
        <v>1069</v>
      </c>
      <c r="P153">
        <v>290</v>
      </c>
      <c r="Q153" s="8">
        <v>1008</v>
      </c>
      <c r="R153" s="12"/>
      <c r="S153" s="8"/>
    </row>
    <row r="154" spans="1:19" x14ac:dyDescent="0.3">
      <c r="A154" t="s">
        <v>393</v>
      </c>
      <c r="B154" t="str">
        <f>IF(SITUACION_COMPLETO[[#This Row],[PROXIMO INGRESO ESTIMADO]]&gt;0,"SI","NO")</f>
        <v>NO</v>
      </c>
      <c r="C154">
        <v>3</v>
      </c>
      <c r="D154" t="s">
        <v>134</v>
      </c>
      <c r="E154" t="s">
        <v>250</v>
      </c>
      <c r="F154" t="str">
        <f>+VLOOKUP(SITUACION_COMPLETO[[#This Row],[CODIGO]],[1]Sheet1!$A:$C,3,0)</f>
        <v>ILUMINACION</v>
      </c>
      <c r="G154" s="8">
        <f>IF(SITUACION_COMPLETO[[#This Row],[DISPONIBLE GRAL]]&lt;5,"QUIEBRE",IFERROR(MAX(ROUND(SITUACION_COMPLETO[[#This Row],[DISPONIBLE GRAL]]/SITUACION_COMPLETO[[#This Row],[INDICE DIGITAL]],0),0),"SIN VENTA"))</f>
        <v>162</v>
      </c>
      <c r="H154" t="s">
        <v>281</v>
      </c>
      <c r="I154" t="str">
        <f>+VLOOKUP(SITUACION_COMPLETO[[#This Row],[CODIGO]],[1]Sheet1!$A:$D,4,0)</f>
        <v>PANELES LED</v>
      </c>
      <c r="J154" t="s">
        <v>39</v>
      </c>
      <c r="K154">
        <v>0</v>
      </c>
      <c r="L154">
        <v>486</v>
      </c>
      <c r="M154" s="8">
        <v>50</v>
      </c>
      <c r="N154">
        <v>496</v>
      </c>
      <c r="O154">
        <v>436</v>
      </c>
      <c r="P154">
        <v>60</v>
      </c>
      <c r="Q154" s="8">
        <v>3000</v>
      </c>
      <c r="R154" s="12"/>
      <c r="S154" s="8"/>
    </row>
    <row r="155" spans="1:19" x14ac:dyDescent="0.3">
      <c r="A155" t="s">
        <v>410</v>
      </c>
      <c r="B155" t="str">
        <f>IF(SITUACION_COMPLETO[[#This Row],[PROXIMO INGRESO ESTIMADO]]&gt;0,"SI","NO")</f>
        <v>NO</v>
      </c>
      <c r="C155">
        <v>3.1</v>
      </c>
      <c r="D155" t="s">
        <v>126</v>
      </c>
      <c r="E155" t="s">
        <v>241</v>
      </c>
      <c r="F155" t="str">
        <f>+VLOOKUP(SITUACION_COMPLETO[[#This Row],[CODIGO]],[1]Sheet1!$A:$C,3,0)</f>
        <v>ILUMINACION</v>
      </c>
      <c r="G155" s="8">
        <f>IF(SITUACION_COMPLETO[[#This Row],[DISPONIBLE GRAL]]&lt;5,"QUIEBRE",IFERROR(MAX(ROUND(SITUACION_COMPLETO[[#This Row],[DISPONIBLE GRAL]]/SITUACION_COMPLETO[[#This Row],[INDICE DIGITAL]],0),0),"SIN VENTA"))</f>
        <v>594</v>
      </c>
      <c r="H155" t="s">
        <v>281</v>
      </c>
      <c r="I155" t="str">
        <f>+VLOOKUP(SITUACION_COMPLETO[[#This Row],[CODIGO]],[1]Sheet1!$A:$D,4,0)</f>
        <v>PANELES LED</v>
      </c>
      <c r="J155" t="s">
        <v>39</v>
      </c>
      <c r="K155">
        <v>0</v>
      </c>
      <c r="L155">
        <v>1841</v>
      </c>
      <c r="M155" s="8">
        <v>42</v>
      </c>
      <c r="N155">
        <v>1870</v>
      </c>
      <c r="O155">
        <v>1800</v>
      </c>
      <c r="P155">
        <v>70</v>
      </c>
      <c r="Q155" s="8">
        <v>3990</v>
      </c>
      <c r="R155" s="12"/>
      <c r="S155" s="8"/>
    </row>
    <row r="156" spans="1:19" x14ac:dyDescent="0.3">
      <c r="A156" t="s">
        <v>329</v>
      </c>
      <c r="B156" t="str">
        <f>IF(SITUACION_COMPLETO[[#This Row],[PROXIMO INGRESO ESTIMADO]]&gt;0,"SI","NO")</f>
        <v>NO</v>
      </c>
      <c r="C156">
        <v>3.2</v>
      </c>
      <c r="D156" t="s">
        <v>54</v>
      </c>
      <c r="E156" t="s">
        <v>169</v>
      </c>
      <c r="F156" t="str">
        <f>+VLOOKUP(SITUACION_COMPLETO[[#This Row],[CODIGO]],[1]Sheet1!$A:$C,3,0)</f>
        <v>BIENESTAR</v>
      </c>
      <c r="G156" s="8">
        <f>IF(SITUACION_COMPLETO[[#This Row],[DISPONIBLE GRAL]]&lt;5,"QUIEBRE",IFERROR(MAX(ROUND(SITUACION_COMPLETO[[#This Row],[DISPONIBLE GRAL]]/SITUACION_COMPLETO[[#This Row],[INDICE DIGITAL]],0),0),"SIN VENTA"))</f>
        <v>172</v>
      </c>
      <c r="H156" t="s">
        <v>281</v>
      </c>
      <c r="I156" t="str">
        <f>+VLOOKUP(SITUACION_COMPLETO[[#This Row],[CODIGO]],[1]Sheet1!$A:$D,4,0)</f>
        <v>BALANZAS</v>
      </c>
      <c r="J156" t="s">
        <v>6</v>
      </c>
      <c r="K156">
        <v>0</v>
      </c>
      <c r="L156">
        <v>549</v>
      </c>
      <c r="M156" s="8">
        <v>-4</v>
      </c>
      <c r="N156">
        <v>570</v>
      </c>
      <c r="O156">
        <v>565</v>
      </c>
      <c r="P156">
        <v>5</v>
      </c>
      <c r="Q156" s="8">
        <v>1000</v>
      </c>
      <c r="R156" s="12"/>
      <c r="S156" s="8"/>
    </row>
    <row r="157" spans="1:19" x14ac:dyDescent="0.3">
      <c r="A157" t="s">
        <v>352</v>
      </c>
      <c r="B157" t="str">
        <f>IF(SITUACION_COMPLETO[[#This Row],[PROXIMO INGRESO ESTIMADO]]&gt;0,"SI","NO")</f>
        <v>NO</v>
      </c>
      <c r="C157">
        <v>3.2</v>
      </c>
      <c r="D157" t="s">
        <v>74</v>
      </c>
      <c r="E157" t="s">
        <v>186</v>
      </c>
      <c r="F157" t="str">
        <f>+VLOOKUP(SITUACION_COMPLETO[[#This Row],[CODIGO]],[1]Sheet1!$A:$C,3,0)</f>
        <v>PEQUEÑOS ELECTRO</v>
      </c>
      <c r="G157" s="8">
        <f>IF(SITUACION_COMPLETO[[#This Row],[DISPONIBLE GRAL]]&lt;5,"QUIEBRE",IFERROR(MAX(ROUND(SITUACION_COMPLETO[[#This Row],[DISPONIBLE GRAL]]/SITUACION_COMPLETO[[#This Row],[INDICE DIGITAL]],0),0),"SIN VENTA"))</f>
        <v>130</v>
      </c>
      <c r="H157" t="s">
        <v>281</v>
      </c>
      <c r="I157" t="str">
        <f>+VLOOKUP(SITUACION_COMPLETO[[#This Row],[CODIGO]],[1]Sheet1!$A:$D,4,0)</f>
        <v>FREIDORAS DE AIRE</v>
      </c>
      <c r="J157" t="s">
        <v>6</v>
      </c>
      <c r="K157">
        <v>0</v>
      </c>
      <c r="L157">
        <v>415</v>
      </c>
      <c r="M157" s="8">
        <v>0</v>
      </c>
      <c r="N157">
        <v>429</v>
      </c>
      <c r="O157">
        <v>426</v>
      </c>
      <c r="P157">
        <v>3</v>
      </c>
      <c r="Q157" s="8">
        <v>0</v>
      </c>
      <c r="R157" s="12"/>
      <c r="S157" s="8"/>
    </row>
    <row r="158" spans="1:19" x14ac:dyDescent="0.3">
      <c r="A158" t="s">
        <v>392</v>
      </c>
      <c r="B158" t="str">
        <f>IF(SITUACION_COMPLETO[[#This Row],[PROXIMO INGRESO ESTIMADO]]&gt;0,"SI","NO")</f>
        <v>NO</v>
      </c>
      <c r="C158">
        <v>3.5</v>
      </c>
      <c r="D158" t="s">
        <v>122</v>
      </c>
      <c r="E158" t="s">
        <v>236</v>
      </c>
      <c r="F158" t="str">
        <f>+VLOOKUP(SITUACION_COMPLETO[[#This Row],[CODIGO]],[1]Sheet1!$A:$C,3,0)</f>
        <v>ILUMINACION</v>
      </c>
      <c r="G158" s="8">
        <f>IF(SITUACION_COMPLETO[[#This Row],[DISPONIBLE GRAL]]&lt;5,"QUIEBRE",IFERROR(MAX(ROUND(SITUACION_COMPLETO[[#This Row],[DISPONIBLE GRAL]]/SITUACION_COMPLETO[[#This Row],[INDICE DIGITAL]],0),0),"SIN VENTA"))</f>
        <v>850</v>
      </c>
      <c r="H158" t="s">
        <v>281</v>
      </c>
      <c r="I158" t="str">
        <f>+VLOOKUP(SITUACION_COMPLETO[[#This Row],[CODIGO]],[1]Sheet1!$A:$D,4,0)</f>
        <v>PANELES LED</v>
      </c>
      <c r="J158" t="s">
        <v>39</v>
      </c>
      <c r="K158">
        <v>0</v>
      </c>
      <c r="L158">
        <v>2975</v>
      </c>
      <c r="M158" s="8">
        <v>22</v>
      </c>
      <c r="N158">
        <v>3031</v>
      </c>
      <c r="O158">
        <v>2961</v>
      </c>
      <c r="P158">
        <v>70</v>
      </c>
      <c r="Q158" s="8">
        <v>3990</v>
      </c>
      <c r="R158" s="12"/>
      <c r="S158" s="8"/>
    </row>
    <row r="159" spans="1:19" x14ac:dyDescent="0.3">
      <c r="A159" t="s">
        <v>386</v>
      </c>
      <c r="B159" t="str">
        <f>IF(SITUACION_COMPLETO[[#This Row],[PROXIMO INGRESO ESTIMADO]]&gt;0,"SI","NO")</f>
        <v>NO</v>
      </c>
      <c r="C159">
        <v>3.6</v>
      </c>
      <c r="D159" t="s">
        <v>119</v>
      </c>
      <c r="E159" t="s">
        <v>232</v>
      </c>
      <c r="F159" t="str">
        <f>+VLOOKUP(SITUACION_COMPLETO[[#This Row],[CODIGO]],[1]Sheet1!$A:$C,3,0)</f>
        <v>ILUMINACION</v>
      </c>
      <c r="G159" s="8">
        <f>IF(SITUACION_COMPLETO[[#This Row],[DISPONIBLE GRAL]]&lt;5,"QUIEBRE",IFERROR(MAX(ROUND(SITUACION_COMPLETO[[#This Row],[DISPONIBLE GRAL]]/SITUACION_COMPLETO[[#This Row],[INDICE DIGITAL]],0),0),"SIN VENTA"))</f>
        <v>239</v>
      </c>
      <c r="H159" t="s">
        <v>281</v>
      </c>
      <c r="I159" t="str">
        <f>+VLOOKUP(SITUACION_COMPLETO[[#This Row],[CODIGO]],[1]Sheet1!$A:$D,4,0)</f>
        <v>PANELES LED</v>
      </c>
      <c r="J159" t="s">
        <v>39</v>
      </c>
      <c r="K159">
        <v>0</v>
      </c>
      <c r="L159">
        <v>861</v>
      </c>
      <c r="M159" s="8">
        <v>50</v>
      </c>
      <c r="N159">
        <v>861</v>
      </c>
      <c r="O159">
        <v>811</v>
      </c>
      <c r="P159">
        <v>50</v>
      </c>
      <c r="Q159" s="8">
        <v>3000</v>
      </c>
      <c r="R159" s="12"/>
      <c r="S159" s="8"/>
    </row>
    <row r="160" spans="1:19" x14ac:dyDescent="0.3">
      <c r="A160" t="s">
        <v>374</v>
      </c>
      <c r="B160" t="str">
        <f>IF(SITUACION_COMPLETO[[#This Row],[PROXIMO INGRESO ESTIMADO]]&gt;0,"SI","NO")</f>
        <v>NO</v>
      </c>
      <c r="C160">
        <v>3.8</v>
      </c>
      <c r="D160" t="s">
        <v>20</v>
      </c>
      <c r="E160" t="s">
        <v>220</v>
      </c>
      <c r="F160" t="str">
        <f>+VLOOKUP(SITUACION_COMPLETO[[#This Row],[CODIGO]],[1]Sheet1!$A:$C,3,0)</f>
        <v>GAMING</v>
      </c>
      <c r="G160" s="8" t="str">
        <f>IF(SITUACION_COMPLETO[[#This Row],[DISPONIBLE GRAL]]&lt;5,"QUIEBRE",IFERROR(MAX(ROUND(SITUACION_COMPLETO[[#This Row],[DISPONIBLE GRAL]]/SITUACION_COMPLETO[[#This Row],[INDICE DIGITAL]],0),0),"SIN VENTA"))</f>
        <v>QUIEBRE</v>
      </c>
      <c r="H160" t="s">
        <v>281</v>
      </c>
      <c r="I160" t="str">
        <f>+VLOOKUP(SITUACION_COMPLETO[[#This Row],[CODIGO]],[1]Sheet1!$A:$D,4,0)</f>
        <v>SILLAS GAMER</v>
      </c>
      <c r="J160" t="s">
        <v>18</v>
      </c>
      <c r="K160">
        <v>0</v>
      </c>
      <c r="L160">
        <v>0</v>
      </c>
      <c r="M160" s="8">
        <v>0</v>
      </c>
      <c r="N160">
        <v>0</v>
      </c>
      <c r="O160">
        <v>0</v>
      </c>
      <c r="P160">
        <v>0</v>
      </c>
      <c r="Q160" s="8">
        <v>0</v>
      </c>
      <c r="R160" s="12"/>
      <c r="S160" s="8"/>
    </row>
    <row r="161" spans="1:19" x14ac:dyDescent="0.3">
      <c r="A161" t="s">
        <v>350</v>
      </c>
      <c r="B161" t="str">
        <f>IF(SITUACION_COMPLETO[[#This Row],[PROXIMO INGRESO ESTIMADO]]&gt;0,"SI","NO")</f>
        <v>NO</v>
      </c>
      <c r="C161">
        <v>4.4000000000000004</v>
      </c>
      <c r="D161" t="s">
        <v>72</v>
      </c>
      <c r="E161" t="s">
        <v>184</v>
      </c>
      <c r="F161" t="str">
        <f>+VLOOKUP(SITUACION_COMPLETO[[#This Row],[CODIGO]],[1]Sheet1!$A:$C,3,0)</f>
        <v>PEQUEÑOS ELECTRO</v>
      </c>
      <c r="G161" s="8">
        <f>IF(SITUACION_COMPLETO[[#This Row],[DISPONIBLE GRAL]]&lt;5,"QUIEBRE",IFERROR(MAX(ROUND(SITUACION_COMPLETO[[#This Row],[DISPONIBLE GRAL]]/SITUACION_COMPLETO[[#This Row],[INDICE DIGITAL]],0),0),"SIN VENTA"))</f>
        <v>37</v>
      </c>
      <c r="H161" t="s">
        <v>281</v>
      </c>
      <c r="I161" t="str">
        <f>+VLOOKUP(SITUACION_COMPLETO[[#This Row],[CODIGO]],[1]Sheet1!$A:$D,4,0)</f>
        <v>FREIDORAS DE AIRE</v>
      </c>
      <c r="J161" t="s">
        <v>6</v>
      </c>
      <c r="K161">
        <v>0</v>
      </c>
      <c r="L161">
        <v>162</v>
      </c>
      <c r="M161" s="8">
        <v>-6</v>
      </c>
      <c r="N161">
        <v>201</v>
      </c>
      <c r="O161">
        <v>186</v>
      </c>
      <c r="P161">
        <v>15</v>
      </c>
      <c r="Q161" s="8">
        <v>0</v>
      </c>
      <c r="R161" s="12"/>
      <c r="S161" s="8"/>
    </row>
    <row r="162" spans="1:19" x14ac:dyDescent="0.3">
      <c r="A162" t="s">
        <v>406</v>
      </c>
      <c r="B162" t="str">
        <f>IF(SITUACION_COMPLETO[[#This Row],[PROXIMO INGRESO ESTIMADO]]&gt;0,"SI","NO")</f>
        <v>NO</v>
      </c>
      <c r="C162">
        <v>4.5</v>
      </c>
      <c r="D162" t="s">
        <v>450</v>
      </c>
      <c r="E162" t="s">
        <v>470</v>
      </c>
      <c r="F162" t="str">
        <f>+VLOOKUP(SITUACION_COMPLETO[[#This Row],[CODIGO]],[1]Sheet1!$A:$C,3,0)</f>
        <v>PEQUEÑOS ELECTRO</v>
      </c>
      <c r="G162" s="8">
        <f>IF(SITUACION_COMPLETO[[#This Row],[DISPONIBLE GRAL]]&lt;5,"QUIEBRE",IFERROR(MAX(ROUND(SITUACION_COMPLETO[[#This Row],[DISPONIBLE GRAL]]/SITUACION_COMPLETO[[#This Row],[INDICE DIGITAL]],0),0),"SIN VENTA"))</f>
        <v>187</v>
      </c>
      <c r="H162" t="s">
        <v>280</v>
      </c>
      <c r="I162" t="str">
        <f>+VLOOKUP(SITUACION_COMPLETO[[#This Row],[CODIGO]],[1]Sheet1!$A:$D,4,0)</f>
        <v>BATIDORAS</v>
      </c>
      <c r="J162" t="s">
        <v>6</v>
      </c>
      <c r="K162">
        <v>0</v>
      </c>
      <c r="L162">
        <v>843</v>
      </c>
      <c r="M162" s="8">
        <v>180</v>
      </c>
      <c r="N162">
        <v>873</v>
      </c>
      <c r="O162">
        <v>674</v>
      </c>
      <c r="P162">
        <v>199</v>
      </c>
      <c r="Q162" s="8">
        <v>0</v>
      </c>
      <c r="R162" s="12"/>
      <c r="S162" s="8"/>
    </row>
    <row r="163" spans="1:19" x14ac:dyDescent="0.3">
      <c r="A163" t="s">
        <v>315</v>
      </c>
      <c r="B163" t="str">
        <f>IF(SITUACION_COMPLETO[[#This Row],[PROXIMO INGRESO ESTIMADO]]&gt;0,"SI","NO")</f>
        <v>NO</v>
      </c>
      <c r="C163">
        <v>4.7</v>
      </c>
      <c r="D163" t="s">
        <v>42</v>
      </c>
      <c r="E163" t="s">
        <v>153</v>
      </c>
      <c r="F163" t="str">
        <f>+VLOOKUP(SITUACION_COMPLETO[[#This Row],[CODIGO]],[1]Sheet1!$A:$C,3,0)</f>
        <v>HOGAR</v>
      </c>
      <c r="G163" s="8">
        <f>IF(SITUACION_COMPLETO[[#This Row],[DISPONIBLE GRAL]]&lt;5,"QUIEBRE",IFERROR(MAX(ROUND(SITUACION_COMPLETO[[#This Row],[DISPONIBLE GRAL]]/SITUACION_COMPLETO[[#This Row],[INDICE DIGITAL]],0),0),"SIN VENTA"))</f>
        <v>76</v>
      </c>
      <c r="H163" t="s">
        <v>281</v>
      </c>
      <c r="I163" t="str">
        <f>+VLOOKUP(SITUACION_COMPLETO[[#This Row],[CODIGO]],[1]Sheet1!$A:$D,4,0)</f>
        <v>ASPIRADORAS</v>
      </c>
      <c r="J163" t="s">
        <v>6</v>
      </c>
      <c r="K163">
        <v>0</v>
      </c>
      <c r="L163">
        <v>356</v>
      </c>
      <c r="M163" s="8">
        <v>74</v>
      </c>
      <c r="N163">
        <v>383</v>
      </c>
      <c r="O163">
        <v>285</v>
      </c>
      <c r="P163">
        <v>98</v>
      </c>
      <c r="Q163" s="8">
        <v>0</v>
      </c>
      <c r="R163" s="12"/>
      <c r="S163" s="8"/>
    </row>
    <row r="164" spans="1:19" x14ac:dyDescent="0.3">
      <c r="A164" t="s">
        <v>461</v>
      </c>
      <c r="B164" t="str">
        <f>IF(SITUACION_COMPLETO[[#This Row],[PROXIMO INGRESO ESTIMADO]]&gt;0,"SI","NO")</f>
        <v>NO</v>
      </c>
      <c r="C164">
        <v>5.6</v>
      </c>
      <c r="D164" t="s">
        <v>453</v>
      </c>
      <c r="E164" t="s">
        <v>138</v>
      </c>
      <c r="F164" t="str">
        <f>+VLOOKUP(SITUACION_COMPLETO[[#This Row],[CODIGO]],[1]Sheet1!$A:$C,3,0)</f>
        <v>PEQUEÑOS ELECTRO</v>
      </c>
      <c r="G164" s="8">
        <f>IF(SITUACION_COMPLETO[[#This Row],[DISPONIBLE GRAL]]&lt;5,"QUIEBRE",IFERROR(MAX(ROUND(SITUACION_COMPLETO[[#This Row],[DISPONIBLE GRAL]]/SITUACION_COMPLETO[[#This Row],[INDICE DIGITAL]],0),0),"SIN VENTA"))</f>
        <v>20</v>
      </c>
      <c r="H164" t="s">
        <v>280</v>
      </c>
      <c r="I164" t="s">
        <v>538</v>
      </c>
      <c r="J164" t="s">
        <v>6</v>
      </c>
      <c r="K164">
        <v>0</v>
      </c>
      <c r="L164">
        <v>113</v>
      </c>
      <c r="M164" s="8">
        <v>57</v>
      </c>
      <c r="N164">
        <v>129</v>
      </c>
      <c r="O164">
        <v>58</v>
      </c>
      <c r="P164">
        <v>71</v>
      </c>
      <c r="Q164" s="8">
        <v>0</v>
      </c>
      <c r="R164" s="12"/>
      <c r="S164" s="8"/>
    </row>
    <row r="165" spans="1:19" x14ac:dyDescent="0.3">
      <c r="A165" t="s">
        <v>422</v>
      </c>
      <c r="B165" t="str">
        <f>IF(SITUACION_COMPLETO[[#This Row],[PROXIMO INGRESO ESTIMADO]]&gt;0,"SI","NO")</f>
        <v>SI</v>
      </c>
      <c r="C165">
        <v>6</v>
      </c>
      <c r="D165" t="s">
        <v>276</v>
      </c>
      <c r="E165" t="s">
        <v>519</v>
      </c>
      <c r="F165" t="str">
        <f>+VLOOKUP(SITUACION_COMPLETO[[#This Row],[CODIGO]],[1]Sheet1!$A:$C,3,0)</f>
        <v>PEQUEÑOS ELECTRO</v>
      </c>
      <c r="G165" s="8">
        <f>IF(SITUACION_COMPLETO[[#This Row],[DISPONIBLE GRAL]]&lt;5,"QUIEBRE",IFERROR(MAX(ROUND(SITUACION_COMPLETO[[#This Row],[DISPONIBLE GRAL]]/SITUACION_COMPLETO[[#This Row],[INDICE DIGITAL]],0),0),"SIN VENTA"))</f>
        <v>128</v>
      </c>
      <c r="H165" t="s">
        <v>280</v>
      </c>
      <c r="I165" t="str">
        <f>+VLOOKUP(SITUACION_COMPLETO[[#This Row],[CODIGO]],[1]Sheet1!$A:$D,4,0)</f>
        <v>BATIDORAS</v>
      </c>
      <c r="J165" t="s">
        <v>6</v>
      </c>
      <c r="K165">
        <v>0</v>
      </c>
      <c r="L165">
        <v>765</v>
      </c>
      <c r="M165" s="8">
        <v>0</v>
      </c>
      <c r="N165">
        <v>817</v>
      </c>
      <c r="O165">
        <v>817</v>
      </c>
      <c r="P165">
        <v>0</v>
      </c>
      <c r="Q165" s="8">
        <v>0</v>
      </c>
      <c r="R165" s="12">
        <v>46280</v>
      </c>
      <c r="S165" s="8">
        <v>1000</v>
      </c>
    </row>
    <row r="166" spans="1:19" x14ac:dyDescent="0.3">
      <c r="A166" t="s">
        <v>391</v>
      </c>
      <c r="B166" t="str">
        <f>IF(SITUACION_COMPLETO[[#This Row],[PROXIMO INGRESO ESTIMADO]]&gt;0,"SI","NO")</f>
        <v>NO</v>
      </c>
      <c r="C166">
        <v>6</v>
      </c>
      <c r="D166" t="s">
        <v>114</v>
      </c>
      <c r="E166" t="s">
        <v>227</v>
      </c>
      <c r="F166" t="str">
        <f>+VLOOKUP(SITUACION_COMPLETO[[#This Row],[CODIGO]],[1]Sheet1!$A:$C,3,0)</f>
        <v>ILUMINACION</v>
      </c>
      <c r="G166" s="8">
        <f>IF(SITUACION_COMPLETO[[#This Row],[DISPONIBLE GRAL]]&lt;5,"QUIEBRE",IFERROR(MAX(ROUND(SITUACION_COMPLETO[[#This Row],[DISPONIBLE GRAL]]/SITUACION_COMPLETO[[#This Row],[INDICE DIGITAL]],0),0),"SIN VENTA"))</f>
        <v>256</v>
      </c>
      <c r="H166" t="s">
        <v>281</v>
      </c>
      <c r="I166" t="str">
        <f>+VLOOKUP(SITUACION_COMPLETO[[#This Row],[CODIGO]],[1]Sheet1!$A:$D,4,0)</f>
        <v>PANELES LED</v>
      </c>
      <c r="J166" t="s">
        <v>39</v>
      </c>
      <c r="K166">
        <v>0</v>
      </c>
      <c r="L166">
        <v>1535</v>
      </c>
      <c r="M166" s="8">
        <v>89</v>
      </c>
      <c r="N166">
        <v>1546</v>
      </c>
      <c r="O166">
        <v>1446</v>
      </c>
      <c r="P166">
        <v>100</v>
      </c>
      <c r="Q166" s="8">
        <v>0</v>
      </c>
      <c r="R166" s="12"/>
      <c r="S166" s="8"/>
    </row>
    <row r="167" spans="1:19" x14ac:dyDescent="0.3">
      <c r="A167" t="s">
        <v>403</v>
      </c>
      <c r="B167" t="str">
        <f>IF(SITUACION_COMPLETO[[#This Row],[PROXIMO INGRESO ESTIMADO]]&gt;0,"SI","NO")</f>
        <v>SI</v>
      </c>
      <c r="C167">
        <v>6.1</v>
      </c>
      <c r="D167" t="s">
        <v>129</v>
      </c>
      <c r="E167" t="s">
        <v>244</v>
      </c>
      <c r="F167" t="str">
        <f>+VLOOKUP(SITUACION_COMPLETO[[#This Row],[CODIGO]],[1]Sheet1!$A:$C,3,0)</f>
        <v>PEQUEÑOS ELECTRO</v>
      </c>
      <c r="G167" s="8">
        <f>IF(SITUACION_COMPLETO[[#This Row],[DISPONIBLE GRAL]]&lt;5,"QUIEBRE",IFERROR(MAX(ROUND(SITUACION_COMPLETO[[#This Row],[DISPONIBLE GRAL]]/SITUACION_COMPLETO[[#This Row],[INDICE DIGITAL]],0),0),"SIN VENTA"))</f>
        <v>32</v>
      </c>
      <c r="H167" t="s">
        <v>280</v>
      </c>
      <c r="I167" t="str">
        <f>+VLOOKUP(SITUACION_COMPLETO[[#This Row],[CODIGO]],[1]Sheet1!$A:$D,4,0)</f>
        <v>RALLADORES</v>
      </c>
      <c r="J167" t="s">
        <v>6</v>
      </c>
      <c r="K167">
        <v>0</v>
      </c>
      <c r="L167">
        <v>195</v>
      </c>
      <c r="M167" s="8">
        <v>87</v>
      </c>
      <c r="N167">
        <v>225</v>
      </c>
      <c r="O167">
        <v>109</v>
      </c>
      <c r="P167">
        <v>116</v>
      </c>
      <c r="Q167" s="8">
        <v>0</v>
      </c>
      <c r="R167" s="12">
        <v>46211</v>
      </c>
      <c r="S167" s="8">
        <v>2994</v>
      </c>
    </row>
    <row r="168" spans="1:19" x14ac:dyDescent="0.3">
      <c r="A168" t="s">
        <v>377</v>
      </c>
      <c r="B168" t="str">
        <f>IF(SITUACION_COMPLETO[[#This Row],[PROXIMO INGRESO ESTIMADO]]&gt;0,"SI","NO")</f>
        <v>NO</v>
      </c>
      <c r="C168">
        <v>6.4</v>
      </c>
      <c r="D168" t="s">
        <v>109</v>
      </c>
      <c r="E168" t="s">
        <v>222</v>
      </c>
      <c r="F168" t="str">
        <f>+VLOOKUP(SITUACION_COMPLETO[[#This Row],[CODIGO]],[1]Sheet1!$A:$C,3,0)</f>
        <v>PEQUEÑOS ELECTRO</v>
      </c>
      <c r="G168" s="8">
        <f>IF(SITUACION_COMPLETO[[#This Row],[DISPONIBLE GRAL]]&lt;5,"QUIEBRE",IFERROR(MAX(ROUND(SITUACION_COMPLETO[[#This Row],[DISPONIBLE GRAL]]/SITUACION_COMPLETO[[#This Row],[INDICE DIGITAL]],0),0),"SIN VENTA"))</f>
        <v>2</v>
      </c>
      <c r="H168" t="s">
        <v>281</v>
      </c>
      <c r="I168" t="str">
        <f>+VLOOKUP(SITUACION_COMPLETO[[#This Row],[CODIGO]],[1]Sheet1!$A:$D,4,0)</f>
        <v>MICROONDAS</v>
      </c>
      <c r="J168" t="s">
        <v>6</v>
      </c>
      <c r="K168">
        <v>0</v>
      </c>
      <c r="L168">
        <v>12</v>
      </c>
      <c r="M168" s="8">
        <v>1</v>
      </c>
      <c r="N168">
        <v>12</v>
      </c>
      <c r="O168">
        <v>11</v>
      </c>
      <c r="P168">
        <v>1</v>
      </c>
      <c r="Q168" s="8">
        <v>0</v>
      </c>
      <c r="R168" s="12"/>
      <c r="S168" s="8"/>
    </row>
    <row r="169" spans="1:19" x14ac:dyDescent="0.3">
      <c r="A169" t="s">
        <v>313</v>
      </c>
      <c r="B169" t="str">
        <f>IF(SITUACION_COMPLETO[[#This Row],[PROXIMO INGRESO ESTIMADO]]&gt;0,"SI","NO")</f>
        <v>NO</v>
      </c>
      <c r="C169">
        <v>6.8</v>
      </c>
      <c r="D169" t="s">
        <v>40</v>
      </c>
      <c r="E169" t="s">
        <v>151</v>
      </c>
      <c r="F169" t="str">
        <f>+VLOOKUP(SITUACION_COMPLETO[[#This Row],[CODIGO]],[1]Sheet1!$A:$C,3,0)</f>
        <v>CICLISMO</v>
      </c>
      <c r="G169" s="8">
        <f>IF(SITUACION_COMPLETO[[#This Row],[DISPONIBLE GRAL]]&lt;5,"QUIEBRE",IFERROR(MAX(ROUND(SITUACION_COMPLETO[[#This Row],[DISPONIBLE GRAL]]/SITUACION_COMPLETO[[#This Row],[INDICE DIGITAL]],0),0),"SIN VENTA"))</f>
        <v>163</v>
      </c>
      <c r="H169" t="s">
        <v>280</v>
      </c>
      <c r="I169" t="str">
        <f>+VLOOKUP(SITUACION_COMPLETO[[#This Row],[CODIGO]],[1]Sheet1!$A:$D,4,0)</f>
        <v>COMPRESORES</v>
      </c>
      <c r="J169" t="s">
        <v>29</v>
      </c>
      <c r="K169">
        <v>0</v>
      </c>
      <c r="L169">
        <v>1106</v>
      </c>
      <c r="M169" s="8">
        <v>-3</v>
      </c>
      <c r="N169">
        <v>1125</v>
      </c>
      <c r="O169">
        <v>1113</v>
      </c>
      <c r="P169">
        <v>12</v>
      </c>
      <c r="Q169" s="8">
        <v>0</v>
      </c>
      <c r="R169" s="12"/>
      <c r="S169" s="8"/>
    </row>
    <row r="170" spans="1:19" x14ac:dyDescent="0.3">
      <c r="A170" t="s">
        <v>401</v>
      </c>
      <c r="B170" t="str">
        <f>IF(SITUACION_COMPLETO[[#This Row],[PROXIMO INGRESO ESTIMADO]]&gt;0,"SI","NO")</f>
        <v>NO</v>
      </c>
      <c r="C170">
        <v>6.8</v>
      </c>
      <c r="D170" t="s">
        <v>132</v>
      </c>
      <c r="E170" t="s">
        <v>247</v>
      </c>
      <c r="F170" t="str">
        <f>+VLOOKUP(SITUACION_COMPLETO[[#This Row],[CODIGO]],[1]Sheet1!$A:$C,3,0)</f>
        <v>PEQUEÑOS ELECTRO</v>
      </c>
      <c r="G170" s="8">
        <f>IF(SITUACION_COMPLETO[[#This Row],[DISPONIBLE GRAL]]&lt;5,"QUIEBRE",IFERROR(MAX(ROUND(SITUACION_COMPLETO[[#This Row],[DISPONIBLE GRAL]]/SITUACION_COMPLETO[[#This Row],[INDICE DIGITAL]],0),0),"SIN VENTA"))</f>
        <v>86</v>
      </c>
      <c r="H170" t="s">
        <v>280</v>
      </c>
      <c r="I170" t="str">
        <f>+VLOOKUP(SITUACION_COMPLETO[[#This Row],[CODIGO]],[1]Sheet1!$A:$D,4,0)</f>
        <v>WAFFLERAS</v>
      </c>
      <c r="J170" t="s">
        <v>6</v>
      </c>
      <c r="K170">
        <v>0</v>
      </c>
      <c r="L170">
        <v>586</v>
      </c>
      <c r="M170" s="8">
        <v>196</v>
      </c>
      <c r="N170">
        <v>618</v>
      </c>
      <c r="O170">
        <v>397</v>
      </c>
      <c r="P170">
        <v>221</v>
      </c>
      <c r="Q170" s="8">
        <v>1500</v>
      </c>
      <c r="R170" s="12"/>
      <c r="S170" s="8"/>
    </row>
    <row r="171" spans="1:19" x14ac:dyDescent="0.3">
      <c r="A171" t="s">
        <v>328</v>
      </c>
      <c r="B171" t="str">
        <f>IF(SITUACION_COMPLETO[[#This Row],[PROXIMO INGRESO ESTIMADO]]&gt;0,"SI","NO")</f>
        <v>NO</v>
      </c>
      <c r="C171">
        <v>6.9</v>
      </c>
      <c r="D171" t="s">
        <v>66</v>
      </c>
      <c r="E171" t="s">
        <v>271</v>
      </c>
      <c r="F171" t="str">
        <f>+VLOOKUP(SITUACION_COMPLETO[[#This Row],[CODIGO]],[1]Sheet1!$A:$C,3,0)</f>
        <v>HOGAR</v>
      </c>
      <c r="G171" s="8">
        <f>IF(SITUACION_COMPLETO[[#This Row],[DISPONIBLE GRAL]]&lt;5,"QUIEBRE",IFERROR(MAX(ROUND(SITUACION_COMPLETO[[#This Row],[DISPONIBLE GRAL]]/SITUACION_COMPLETO[[#This Row],[INDICE DIGITAL]],0),0),"SIN VENTA"))</f>
        <v>100</v>
      </c>
      <c r="H171" t="s">
        <v>280</v>
      </c>
      <c r="I171" t="str">
        <f>+VLOOKUP(SITUACION_COMPLETO[[#This Row],[CODIGO]],[1]Sheet1!$A:$D,4,0)</f>
        <v>MAQUINA DE COSER</v>
      </c>
      <c r="J171" t="s">
        <v>6</v>
      </c>
      <c r="K171">
        <v>0</v>
      </c>
      <c r="L171">
        <v>690</v>
      </c>
      <c r="M171" s="8">
        <v>-1</v>
      </c>
      <c r="N171">
        <v>704</v>
      </c>
      <c r="O171">
        <v>699</v>
      </c>
      <c r="P171">
        <v>5</v>
      </c>
      <c r="Q171" s="8">
        <v>0</v>
      </c>
      <c r="R171" s="12"/>
      <c r="S171" s="8"/>
    </row>
    <row r="172" spans="1:19" x14ac:dyDescent="0.3">
      <c r="A172" t="s">
        <v>459</v>
      </c>
      <c r="B172" t="str">
        <f>IF(SITUACION_COMPLETO[[#This Row],[PROXIMO INGRESO ESTIMADO]]&gt;0,"SI","NO")</f>
        <v>NO</v>
      </c>
      <c r="C172">
        <v>7.3</v>
      </c>
      <c r="D172" t="s">
        <v>451</v>
      </c>
      <c r="E172" t="s">
        <v>471</v>
      </c>
      <c r="F172" t="str">
        <f>+VLOOKUP(SITUACION_COMPLETO[[#This Row],[CODIGO]],[1]Sheet1!$A:$C,3,0)</f>
        <v>PEQUEÑOS ELECTRO</v>
      </c>
      <c r="G172" s="8">
        <f>IF(SITUACION_COMPLETO[[#This Row],[DISPONIBLE GRAL]]&lt;5,"QUIEBRE",IFERROR(MAX(ROUND(SITUACION_COMPLETO[[#This Row],[DISPONIBLE GRAL]]/SITUACION_COMPLETO[[#This Row],[INDICE DIGITAL]],0),0),"SIN VENTA"))</f>
        <v>32</v>
      </c>
      <c r="H172" t="s">
        <v>280</v>
      </c>
      <c r="I172" t="str">
        <f>+VLOOKUP(SITUACION_COMPLETO[[#This Row],[CODIGO]],[1]Sheet1!$A:$D,4,0)</f>
        <v>BATIDORAS</v>
      </c>
      <c r="J172" t="s">
        <v>6</v>
      </c>
      <c r="K172">
        <v>0</v>
      </c>
      <c r="L172">
        <v>236</v>
      </c>
      <c r="M172" s="8">
        <v>103</v>
      </c>
      <c r="N172">
        <v>286</v>
      </c>
      <c r="O172">
        <v>138</v>
      </c>
      <c r="P172">
        <v>148</v>
      </c>
      <c r="Q172" s="8">
        <v>0</v>
      </c>
      <c r="R172" s="12"/>
      <c r="S172" s="8"/>
    </row>
    <row r="173" spans="1:19" x14ac:dyDescent="0.3">
      <c r="A173" t="s">
        <v>320</v>
      </c>
      <c r="B173" t="str">
        <f>IF(SITUACION_COMPLETO[[#This Row],[PROXIMO INGRESO ESTIMADO]]&gt;0,"SI","NO")</f>
        <v>NO</v>
      </c>
      <c r="C173">
        <v>10.7</v>
      </c>
      <c r="D173" t="s">
        <v>58</v>
      </c>
      <c r="E173" t="s">
        <v>171</v>
      </c>
      <c r="F173" t="str">
        <f>+VLOOKUP(SITUACION_COMPLETO[[#This Row],[CODIGO]],[1]Sheet1!$A:$C,3,0)</f>
        <v>PEQUEÑOS ELECTRO</v>
      </c>
      <c r="G173" s="8">
        <f>IF(SITUACION_COMPLETO[[#This Row],[DISPONIBLE GRAL]]&lt;5,"QUIEBRE",IFERROR(MAX(ROUND(SITUACION_COMPLETO[[#This Row],[DISPONIBLE GRAL]]/SITUACION_COMPLETO[[#This Row],[INDICE DIGITAL]],0),0),"SIN VENTA"))</f>
        <v>99</v>
      </c>
      <c r="H173" t="s">
        <v>281</v>
      </c>
      <c r="I173" t="str">
        <f>+VLOOKUP(SITUACION_COMPLETO[[#This Row],[CODIGO]],[1]Sheet1!$A:$D,4,0)</f>
        <v>CAFETERAS</v>
      </c>
      <c r="J173" t="s">
        <v>6</v>
      </c>
      <c r="K173">
        <v>0</v>
      </c>
      <c r="L173">
        <v>1057</v>
      </c>
      <c r="M173" s="8">
        <v>6</v>
      </c>
      <c r="N173">
        <v>1086</v>
      </c>
      <c r="O173">
        <v>1077</v>
      </c>
      <c r="P173">
        <v>9</v>
      </c>
      <c r="Q173" s="8">
        <v>0</v>
      </c>
      <c r="R173" s="12"/>
      <c r="S173" s="8"/>
    </row>
    <row r="174" spans="1:19" x14ac:dyDescent="0.3">
      <c r="A174" t="s">
        <v>385</v>
      </c>
      <c r="B174" t="str">
        <f>IF(SITUACION_COMPLETO[[#This Row],[PROXIMO INGRESO ESTIMADO]]&gt;0,"SI","NO")</f>
        <v>NO</v>
      </c>
      <c r="C174">
        <v>12.6</v>
      </c>
      <c r="D174" t="s">
        <v>117</v>
      </c>
      <c r="E174" t="s">
        <v>230</v>
      </c>
      <c r="F174" t="str">
        <f>+VLOOKUP(SITUACION_COMPLETO[[#This Row],[CODIGO]],[1]Sheet1!$A:$C,3,0)</f>
        <v>ILUMINACION</v>
      </c>
      <c r="G174" s="8">
        <f>IF(SITUACION_COMPLETO[[#This Row],[DISPONIBLE GRAL]]&lt;5,"QUIEBRE",IFERROR(MAX(ROUND(SITUACION_COMPLETO[[#This Row],[DISPONIBLE GRAL]]/SITUACION_COMPLETO[[#This Row],[INDICE DIGITAL]],0),0),"SIN VENTA"))</f>
        <v>101</v>
      </c>
      <c r="H174" t="s">
        <v>281</v>
      </c>
      <c r="I174" t="str">
        <f>+VLOOKUP(SITUACION_COMPLETO[[#This Row],[CODIGO]],[1]Sheet1!$A:$D,4,0)</f>
        <v>PANELES LED</v>
      </c>
      <c r="J174" t="s">
        <v>39</v>
      </c>
      <c r="K174">
        <v>0</v>
      </c>
      <c r="L174">
        <v>1276</v>
      </c>
      <c r="M174" s="8">
        <v>51</v>
      </c>
      <c r="N174">
        <v>1280</v>
      </c>
      <c r="O174">
        <v>1225</v>
      </c>
      <c r="P174">
        <v>55</v>
      </c>
      <c r="Q174" s="8">
        <v>3990</v>
      </c>
      <c r="R174" s="12"/>
      <c r="S174" s="8"/>
    </row>
    <row r="175" spans="1:19" x14ac:dyDescent="0.3">
      <c r="A175" t="s">
        <v>321</v>
      </c>
      <c r="B175" t="str">
        <f>IF(SITUACION_COMPLETO[[#This Row],[PROXIMO INGRESO ESTIMADO]]&gt;0,"SI","NO")</f>
        <v>NO</v>
      </c>
      <c r="C175">
        <v>13.1</v>
      </c>
      <c r="D175" t="s">
        <v>59</v>
      </c>
      <c r="E175" t="s">
        <v>172</v>
      </c>
      <c r="F175" t="str">
        <f>+VLOOKUP(SITUACION_COMPLETO[[#This Row],[CODIGO]],[1]Sheet1!$A:$C,3,0)</f>
        <v>PEQUEÑOS ELECTRO</v>
      </c>
      <c r="G175" s="8">
        <f>IF(SITUACION_COMPLETO[[#This Row],[DISPONIBLE GRAL]]&lt;5,"QUIEBRE",IFERROR(MAX(ROUND(SITUACION_COMPLETO[[#This Row],[DISPONIBLE GRAL]]/SITUACION_COMPLETO[[#This Row],[INDICE DIGITAL]],0),0),"SIN VENTA"))</f>
        <v>51</v>
      </c>
      <c r="H175" t="s">
        <v>281</v>
      </c>
      <c r="I175" t="str">
        <f>+VLOOKUP(SITUACION_COMPLETO[[#This Row],[CODIGO]],[1]Sheet1!$A:$D,4,0)</f>
        <v>CAFETERAS</v>
      </c>
      <c r="J175" t="s">
        <v>6</v>
      </c>
      <c r="K175">
        <v>0</v>
      </c>
      <c r="L175">
        <v>664</v>
      </c>
      <c r="M175" s="8">
        <v>-12</v>
      </c>
      <c r="N175">
        <v>732</v>
      </c>
      <c r="O175">
        <v>713</v>
      </c>
      <c r="P175">
        <v>19</v>
      </c>
      <c r="Q175" s="8">
        <v>0</v>
      </c>
      <c r="R175" s="12"/>
      <c r="S175" s="8"/>
    </row>
    <row r="176" spans="1:19" x14ac:dyDescent="0.3">
      <c r="A176" t="s">
        <v>348</v>
      </c>
      <c r="B176" t="str">
        <f>IF(SITUACION_COMPLETO[[#This Row],[PROXIMO INGRESO ESTIMADO]]&gt;0,"SI","NO")</f>
        <v>NO</v>
      </c>
      <c r="C176">
        <v>14.5</v>
      </c>
      <c r="D176" t="s">
        <v>53</v>
      </c>
      <c r="E176" t="s">
        <v>168</v>
      </c>
      <c r="F176" t="str">
        <f>+VLOOKUP(SITUACION_COMPLETO[[#This Row],[CODIGO]],[1]Sheet1!$A:$C,3,0)</f>
        <v>PEQUEÑOS ELECTRO</v>
      </c>
      <c r="G176" s="8">
        <f>IF(SITUACION_COMPLETO[[#This Row],[DISPONIBLE GRAL]]&lt;5,"QUIEBRE",IFERROR(MAX(ROUND(SITUACION_COMPLETO[[#This Row],[DISPONIBLE GRAL]]/SITUACION_COMPLETO[[#This Row],[INDICE DIGITAL]],0),0),"SIN VENTA"))</f>
        <v>1</v>
      </c>
      <c r="H176" t="s">
        <v>281</v>
      </c>
      <c r="I176" t="str">
        <f>+VLOOKUP(SITUACION_COMPLETO[[#This Row],[CODIGO]],[1]Sheet1!$A:$D,4,0)</f>
        <v>FREIDORAS DE AIRE</v>
      </c>
      <c r="J176" t="s">
        <v>6</v>
      </c>
      <c r="K176">
        <v>2</v>
      </c>
      <c r="L176">
        <v>15</v>
      </c>
      <c r="M176" s="8">
        <v>1</v>
      </c>
      <c r="N176">
        <v>118</v>
      </c>
      <c r="O176">
        <v>117</v>
      </c>
      <c r="P176">
        <v>1</v>
      </c>
      <c r="Q176" s="8">
        <v>500</v>
      </c>
      <c r="R176" s="12"/>
      <c r="S176" s="8"/>
    </row>
    <row r="177" spans="1:19" x14ac:dyDescent="0.3">
      <c r="A177" t="s">
        <v>413</v>
      </c>
      <c r="B177" t="str">
        <f>IF(SITUACION_COMPLETO[[#This Row],[PROXIMO INGRESO ESTIMADO]]&gt;0,"SI","NO")</f>
        <v>SI</v>
      </c>
      <c r="C177">
        <v>36.200000000000003</v>
      </c>
      <c r="D177" t="s">
        <v>52</v>
      </c>
      <c r="E177" t="s">
        <v>167</v>
      </c>
      <c r="F177" t="str">
        <f>+VLOOKUP(SITUACION_COMPLETO[[#This Row],[CODIGO]],[1]Sheet1!$A:$C,3,0)</f>
        <v>PEQUEÑOS ELECTRO</v>
      </c>
      <c r="G177" s="8">
        <f>IF(SITUACION_COMPLETO[[#This Row],[DISPONIBLE GRAL]]&lt;5,"QUIEBRE",IFERROR(MAX(ROUND(SITUACION_COMPLETO[[#This Row],[DISPONIBLE GRAL]]/SITUACION_COMPLETO[[#This Row],[INDICE DIGITAL]],0),0),"SIN VENTA"))</f>
        <v>35</v>
      </c>
      <c r="H177" t="s">
        <v>280</v>
      </c>
      <c r="I177" t="str">
        <f>+VLOOKUP(SITUACION_COMPLETO[[#This Row],[CODIGO]],[1]Sheet1!$A:$D,4,0)</f>
        <v>FABRICA DE DONAS</v>
      </c>
      <c r="J177" t="s">
        <v>6</v>
      </c>
      <c r="K177">
        <v>0</v>
      </c>
      <c r="L177">
        <v>1272</v>
      </c>
      <c r="M177" s="8">
        <v>596</v>
      </c>
      <c r="N177">
        <v>1361</v>
      </c>
      <c r="O177">
        <v>698</v>
      </c>
      <c r="P177">
        <v>663</v>
      </c>
      <c r="Q177" s="8">
        <v>0</v>
      </c>
      <c r="R177" s="12">
        <v>46224</v>
      </c>
      <c r="S177" s="8">
        <v>4090</v>
      </c>
    </row>
  </sheetData>
  <mergeCells count="3">
    <mergeCell ref="C1:C2"/>
    <mergeCell ref="D1:D3"/>
    <mergeCell ref="C4:C6"/>
  </mergeCells>
  <phoneticPr fontId="2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2044-3DFE-4078-A857-0C6668B99D8E}">
  <dimension ref="A1:C13"/>
  <sheetViews>
    <sheetView workbookViewId="0">
      <selection activeCell="B7" sqref="B7"/>
    </sheetView>
  </sheetViews>
  <sheetFormatPr baseColWidth="10" defaultRowHeight="14.4" x14ac:dyDescent="0.3"/>
  <sheetData>
    <row r="1" spans="1:3" x14ac:dyDescent="0.3">
      <c r="A1" t="s">
        <v>473</v>
      </c>
      <c r="B1" t="s">
        <v>474</v>
      </c>
      <c r="C1" t="s">
        <v>475</v>
      </c>
    </row>
    <row r="2" spans="1:3" x14ac:dyDescent="0.3">
      <c r="A2" t="s">
        <v>476</v>
      </c>
      <c r="B2">
        <v>1</v>
      </c>
      <c r="C2">
        <v>1</v>
      </c>
    </row>
    <row r="3" spans="1:3" x14ac:dyDescent="0.3">
      <c r="A3" t="s">
        <v>477</v>
      </c>
      <c r="B3">
        <v>2</v>
      </c>
      <c r="C3">
        <v>1</v>
      </c>
    </row>
    <row r="4" spans="1:3" x14ac:dyDescent="0.3">
      <c r="A4" t="s">
        <v>478</v>
      </c>
      <c r="B4">
        <v>3</v>
      </c>
      <c r="C4">
        <v>1</v>
      </c>
    </row>
    <row r="5" spans="1:3" x14ac:dyDescent="0.3">
      <c r="A5" t="s">
        <v>479</v>
      </c>
      <c r="B5">
        <v>4</v>
      </c>
      <c r="C5">
        <v>1</v>
      </c>
    </row>
    <row r="6" spans="1:3" x14ac:dyDescent="0.3">
      <c r="A6" t="s">
        <v>480</v>
      </c>
      <c r="B6">
        <v>5</v>
      </c>
      <c r="C6">
        <v>1</v>
      </c>
    </row>
    <row r="7" spans="1:3" x14ac:dyDescent="0.3">
      <c r="A7" t="s">
        <v>481</v>
      </c>
      <c r="B7">
        <v>6</v>
      </c>
      <c r="C7">
        <v>1</v>
      </c>
    </row>
    <row r="8" spans="1:3" x14ac:dyDescent="0.3">
      <c r="A8" t="s">
        <v>482</v>
      </c>
      <c r="B8">
        <v>7</v>
      </c>
      <c r="C8">
        <v>1</v>
      </c>
    </row>
    <row r="9" spans="1:3" x14ac:dyDescent="0.3">
      <c r="A9" t="s">
        <v>483</v>
      </c>
      <c r="B9">
        <v>8</v>
      </c>
      <c r="C9">
        <v>1</v>
      </c>
    </row>
    <row r="10" spans="1:3" x14ac:dyDescent="0.3">
      <c r="A10" t="s">
        <v>484</v>
      </c>
      <c r="B10">
        <v>9</v>
      </c>
      <c r="C10">
        <v>1</v>
      </c>
    </row>
    <row r="11" spans="1:3" x14ac:dyDescent="0.3">
      <c r="A11" t="s">
        <v>485</v>
      </c>
      <c r="B11">
        <v>10</v>
      </c>
      <c r="C11">
        <v>1</v>
      </c>
    </row>
    <row r="12" spans="1:3" x14ac:dyDescent="0.3">
      <c r="A12" t="s">
        <v>486</v>
      </c>
      <c r="B12">
        <v>11</v>
      </c>
      <c r="C12">
        <v>1</v>
      </c>
    </row>
    <row r="13" spans="1:3" x14ac:dyDescent="0.3">
      <c r="A13" t="s">
        <v>487</v>
      </c>
      <c r="B13">
        <v>12</v>
      </c>
      <c r="C1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35EF-0B35-494F-B5EE-6B637ADAD43C}">
  <dimension ref="A1:A2"/>
  <sheetViews>
    <sheetView workbookViewId="0">
      <selection sqref="A1:A2"/>
    </sheetView>
  </sheetViews>
  <sheetFormatPr baseColWidth="10" defaultRowHeight="14.4" x14ac:dyDescent="0.3"/>
  <cols>
    <col min="1" max="1" width="8.44140625" bestFit="1" customWidth="1"/>
  </cols>
  <sheetData>
    <row r="1" spans="1:1" x14ac:dyDescent="0.3">
      <c r="A1" t="s">
        <v>472</v>
      </c>
    </row>
    <row r="2" spans="1:1" x14ac:dyDescent="0.3">
      <c r="A2">
        <v>46156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ED2A616ACC04BB2C7C33A73774B2D" ma:contentTypeVersion="3" ma:contentTypeDescription="Create a new document." ma:contentTypeScope="" ma:versionID="1b42e477621c0fb9607ad8c1de6eea55">
  <xsd:schema xmlns:xsd="http://www.w3.org/2001/XMLSchema" xmlns:xs="http://www.w3.org/2001/XMLSchema" xmlns:p="http://schemas.microsoft.com/office/2006/metadata/properties" xmlns:ns2="91894cf4-e21d-49e7-ba97-3e67074d819b" targetNamespace="http://schemas.microsoft.com/office/2006/metadata/properties" ma:root="true" ma:fieldsID="f21ca35142cf7b9955294076f3274271" ns2:_="">
    <xsd:import namespace="91894cf4-e21d-49e7-ba97-3e67074d81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94cf4-e21d-49e7-ba97-3e67074d8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E8127-FEA9-4D7C-AAFA-7FDFAC5E0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94cf4-e21d-49e7-ba97-3e67074d8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12D3C9-99D8-485C-A088-1A435B569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DC2679-BD37-41EB-B74B-E13C58F8044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0C40858-E464-4F3D-BAFF-EA30F503667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STATUS</vt:lpstr>
      <vt:lpstr>PERIODOS</vt:lpstr>
      <vt:lpstr>F_ACTUALIZACION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Parenti</dc:creator>
  <cp:lastModifiedBy>Juan Santiago</cp:lastModifiedBy>
  <dcterms:created xsi:type="dcterms:W3CDTF">2015-06-05T18:19:34Z</dcterms:created>
  <dcterms:modified xsi:type="dcterms:W3CDTF">2026-05-17T14:58:22Z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0x0101000F7ED2A616ACC04BB2C7C33A73774B2D</vt:lpwstr>
  </property>
</Properties>
</file>